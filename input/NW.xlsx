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benchmark\input\"/>
    </mc:Choice>
  </mc:AlternateContent>
  <bookViews>
    <workbookView xWindow="-105" yWindow="-105" windowWidth="21825" windowHeight="13905" tabRatio="858" activeTab="5"/>
  </bookViews>
  <sheets>
    <sheet name="General" sheetId="9" r:id="rId1"/>
    <sheet name="Years" sheetId="10" r:id="rId2"/>
    <sheet name="emissionfactors" sheetId="13" r:id="rId3"/>
    <sheet name="Emissions" sheetId="11" r:id="rId4"/>
    <sheet name="TechMap" sheetId="7" r:id="rId5"/>
    <sheet name="FuelPrice" sheetId="2" r:id="rId6"/>
    <sheet name="TechData" sheetId="3" r:id="rId7"/>
    <sheet name="TechConstraints" sheetId="15" r:id="rId8"/>
    <sheet name="Constraints" sheetId="16" r:id="rId9"/>
    <sheet name="ConstraintsTypes" sheetId="18" r:id="rId10"/>
    <sheet name="TechCapex" sheetId="4" r:id="rId11"/>
    <sheet name="fom" sheetId="5" r:id="rId12"/>
    <sheet name="vom" sheetId="6" r:id="rId13"/>
    <sheet name="Interconnection" sheetId="8" r:id="rId14"/>
    <sheet name="generics" sheetId="14" r:id="rId1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3" l="1"/>
  <c r="K11" i="3" l="1"/>
  <c r="K9" i="3"/>
  <c r="K8" i="3"/>
  <c r="K7" i="3"/>
  <c r="K6" i="3"/>
  <c r="K5" i="3"/>
  <c r="K4" i="3"/>
  <c r="I2" i="3"/>
  <c r="K2" i="3" s="1"/>
  <c r="C6" i="13"/>
  <c r="C5" i="13"/>
  <c r="C4" i="13"/>
  <c r="C3" i="13"/>
  <c r="K3" i="3" s="1"/>
  <c r="K10" i="3" l="1"/>
</calcChain>
</file>

<file path=xl/sharedStrings.xml><?xml version="1.0" encoding="utf-8"?>
<sst xmlns="http://schemas.openxmlformats.org/spreadsheetml/2006/main" count="252" uniqueCount="65">
  <si>
    <t>Parameter</t>
  </si>
  <si>
    <t>Value</t>
  </si>
  <si>
    <t>Discount rate</t>
  </si>
  <si>
    <t>Days per year</t>
  </si>
  <si>
    <t>Timesteps per day</t>
  </si>
  <si>
    <t>First year</t>
  </si>
  <si>
    <t>years</t>
  </si>
  <si>
    <t>fuel</t>
  </si>
  <si>
    <t>kg/TJ</t>
  </si>
  <si>
    <t>tons/kWyr</t>
  </si>
  <si>
    <t>coal</t>
  </si>
  <si>
    <t>uranium</t>
  </si>
  <si>
    <t>biomass</t>
  </si>
  <si>
    <t>oil</t>
  </si>
  <si>
    <t>gas</t>
  </si>
  <si>
    <t>emissions</t>
  </si>
  <si>
    <t>Technology name</t>
  </si>
  <si>
    <t>Technology</t>
  </si>
  <si>
    <t>Technology Type</t>
  </si>
  <si>
    <t>nuclear</t>
  </si>
  <si>
    <t>nuclearPP_PWR</t>
  </si>
  <si>
    <t>pressurized water reactor</t>
  </si>
  <si>
    <t>nuclearPP_SMR</t>
  </si>
  <si>
    <t>SMR</t>
  </si>
  <si>
    <t>solarPV</t>
  </si>
  <si>
    <t>solar</t>
  </si>
  <si>
    <t>solar PV</t>
  </si>
  <si>
    <t>solarCSP</t>
  </si>
  <si>
    <t>solar thermal</t>
  </si>
  <si>
    <t>wind_onshore</t>
  </si>
  <si>
    <t>wind</t>
  </si>
  <si>
    <t>wind onshore</t>
  </si>
  <si>
    <t>wind_offshore</t>
  </si>
  <si>
    <t>wind offshore</t>
  </si>
  <si>
    <t>biomassPP</t>
  </si>
  <si>
    <t>Bioenergy</t>
  </si>
  <si>
    <t>oilPP</t>
  </si>
  <si>
    <t>combined cycle</t>
  </si>
  <si>
    <t>gasPP_CCGT</t>
  </si>
  <si>
    <t>Coal</t>
  </si>
  <si>
    <t>coalPP_ultra-supercritical</t>
  </si>
  <si>
    <t>ultra-supercritical</t>
  </si>
  <si>
    <t>Fuel</t>
  </si>
  <si>
    <t>type</t>
  </si>
  <si>
    <t>ramprate</t>
  </si>
  <si>
    <t>construction time</t>
  </si>
  <si>
    <t>efficiency</t>
  </si>
  <si>
    <t>availability</t>
  </si>
  <si>
    <t>emissionfactor</t>
  </si>
  <si>
    <t>genericfirstyear</t>
  </si>
  <si>
    <t>PP</t>
  </si>
  <si>
    <t>RE</t>
  </si>
  <si>
    <t>from-to</t>
  </si>
  <si>
    <t>region</t>
  </si>
  <si>
    <t>BuildLimNuc</t>
  </si>
  <si>
    <t>SolBuildLim</t>
  </si>
  <si>
    <t>WonBuildLim</t>
  </si>
  <si>
    <t>WofBuildLim</t>
  </si>
  <si>
    <t>constraint</t>
  </si>
  <si>
    <t>con1c</t>
  </si>
  <si>
    <t>lifetime</t>
    <phoneticPr fontId="9" type="noConversion"/>
  </si>
  <si>
    <t>ldr</t>
  </si>
  <si>
    <t>except</t>
  </si>
  <si>
    <t>ProvA</t>
  </si>
  <si>
    <t>ProvB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</si>
</sst>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_);[Red]\(0.00\)"/>
    <numFmt numFmtId="165" formatCode="0.00_ "/>
    <numFmt numFmtId="166" formatCode="0_ "/>
    <numFmt numFmtId="167" formatCode="0_);[Red]\(0\)"/>
  </numFmts>
  <fonts count="14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3"/>
      <charset val="134"/>
      <scheme val="minor"/>
    </font>
    <font>
      <sz val="11"/>
      <name val="等线"/>
      <family val="3"/>
      <charset val="134"/>
    </font>
    <font>
      <b/>
      <sz val="11"/>
      <color theme="1"/>
      <name val="Aptos Narrow"/>
      <family val="3"/>
      <charset val="134"/>
      <scheme val="minor"/>
    </font>
    <font>
      <b/>
      <sz val="11"/>
      <name val="Aptos Narrow"/>
      <family val="3"/>
      <charset val="134"/>
      <scheme val="minor"/>
    </font>
    <font>
      <sz val="11"/>
      <color rgb="FFFF0000"/>
      <name val="Aptos Narrow"/>
      <family val="3"/>
      <charset val="134"/>
      <scheme val="minor"/>
    </font>
    <font>
      <sz val="11"/>
      <color theme="1"/>
      <name val="Aptos Narrow"/>
      <family val="3"/>
      <charset val="134"/>
      <scheme val="minor"/>
    </font>
    <font>
      <sz val="9"/>
      <name val="Aptos Narrow"/>
      <family val="3"/>
      <charset val="13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4"/>
      <charset val="134"/>
      <scheme val="minor"/>
    </font>
    <font>
      <sz val="9"/>
      <name val="Aptos Narrow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8" fillId="0" borderId="0">
      <alignment vertical="center"/>
    </xf>
    <xf numFmtId="0" fontId="8" fillId="0" borderId="0"/>
    <xf numFmtId="0" fontId="2" fillId="0" borderId="0"/>
    <xf numFmtId="0" fontId="2" fillId="0" borderId="0">
      <alignment vertical="center"/>
    </xf>
    <xf numFmtId="0" fontId="2" fillId="0" borderId="0"/>
  </cellStyleXfs>
  <cellXfs count="51">
    <xf numFmtId="0" fontId="0" fillId="0" borderId="0" xfId="0"/>
    <xf numFmtId="0" fontId="3" fillId="0" borderId="0" xfId="1" applyFont="1" applyAlignment="1">
      <alignment wrapText="1"/>
    </xf>
    <xf numFmtId="0" fontId="8" fillId="0" borderId="0" xfId="2"/>
    <xf numFmtId="0" fontId="8" fillId="0" borderId="0" xfId="1" applyAlignment="1"/>
    <xf numFmtId="0" fontId="4" fillId="0" borderId="0" xfId="1" applyFont="1" applyAlignment="1">
      <alignment wrapText="1"/>
    </xf>
    <xf numFmtId="0" fontId="5" fillId="0" borderId="0" xfId="1" applyFont="1" applyAlignment="1"/>
    <xf numFmtId="0" fontId="8" fillId="0" borderId="0" xfId="1">
      <alignment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8" fillId="0" borderId="0" xfId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>
      <alignment vertical="center"/>
    </xf>
    <xf numFmtId="0" fontId="3" fillId="0" borderId="0" xfId="0" applyFont="1"/>
    <xf numFmtId="0" fontId="2" fillId="0" borderId="0" xfId="3"/>
    <xf numFmtId="0" fontId="2" fillId="0" borderId="0" xfId="4" applyAlignment="1"/>
    <xf numFmtId="0" fontId="10" fillId="0" borderId="0" xfId="4" applyFont="1" applyAlignment="1"/>
    <xf numFmtId="0" fontId="2" fillId="0" borderId="0" xfId="5" applyAlignment="1">
      <alignment vertical="center"/>
    </xf>
    <xf numFmtId="0" fontId="11" fillId="0" borderId="0" xfId="5" applyFont="1"/>
    <xf numFmtId="0" fontId="2" fillId="0" borderId="0" xfId="5"/>
    <xf numFmtId="167" fontId="0" fillId="0" borderId="0" xfId="0" applyNumberFormat="1"/>
    <xf numFmtId="166" fontId="0" fillId="0" borderId="0" xfId="0" applyNumberFormat="1"/>
    <xf numFmtId="0" fontId="1" fillId="0" borderId="0" xfId="5" applyFont="1"/>
    <xf numFmtId="0" fontId="6" fillId="0" borderId="0" xfId="1" applyFont="1" applyFill="1" applyAlignment="1">
      <alignment horizontal="left" vertical="center"/>
    </xf>
    <xf numFmtId="0" fontId="8" fillId="0" borderId="0" xfId="1" applyFill="1">
      <alignment vertical="center"/>
    </xf>
    <xf numFmtId="0" fontId="8" fillId="0" borderId="0" xfId="1" applyFill="1" applyAlignment="1">
      <alignment horizontal="left" vertical="center"/>
    </xf>
    <xf numFmtId="0" fontId="3" fillId="0" borderId="0" xfId="1" applyFont="1" applyFill="1" applyAlignment="1">
      <alignment horizontal="left" vertical="center"/>
    </xf>
    <xf numFmtId="0" fontId="8" fillId="0" borderId="0" xfId="1" applyFill="1" applyAlignment="1"/>
    <xf numFmtId="0" fontId="7" fillId="0" borderId="0" xfId="1" applyFont="1" applyFill="1" applyAlignment="1">
      <alignment horizontal="left" vertical="center"/>
    </xf>
    <xf numFmtId="164" fontId="8" fillId="0" borderId="0" xfId="1" applyNumberFormat="1" applyFill="1" applyAlignment="1">
      <alignment horizontal="left" vertical="center"/>
    </xf>
    <xf numFmtId="164" fontId="8" fillId="0" borderId="0" xfId="1" applyNumberForma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4" fillId="0" borderId="0" xfId="1" applyNumberFormat="1" applyFont="1" applyFill="1" applyAlignment="1">
      <alignment horizontal="left" vertical="center"/>
    </xf>
    <xf numFmtId="0" fontId="7" fillId="0" borderId="0" xfId="0" applyFont="1" applyFill="1"/>
    <xf numFmtId="165" fontId="7" fillId="0" borderId="0" xfId="0" applyNumberFormat="1" applyFont="1" applyFill="1"/>
    <xf numFmtId="0" fontId="3" fillId="0" borderId="0" xfId="1" applyFont="1" applyFill="1" applyAlignment="1"/>
    <xf numFmtId="0" fontId="4" fillId="0" borderId="0" xfId="1" applyFont="1" applyFill="1" applyAlignment="1"/>
    <xf numFmtId="0" fontId="6" fillId="0" borderId="0" xfId="1" applyFont="1" applyFill="1" applyAlignment="1"/>
    <xf numFmtId="0" fontId="3" fillId="0" borderId="0" xfId="1" applyFont="1" applyFill="1">
      <alignment vertical="center"/>
    </xf>
    <xf numFmtId="165" fontId="3" fillId="0" borderId="0" xfId="1" applyNumberFormat="1" applyFont="1" applyFill="1" applyAlignment="1"/>
    <xf numFmtId="0" fontId="3" fillId="0" borderId="0" xfId="1" applyFont="1" applyFill="1" applyAlignment="1">
      <alignment horizontal="right"/>
    </xf>
    <xf numFmtId="165" fontId="3" fillId="0" borderId="0" xfId="1" applyNumberFormat="1" applyFont="1" applyFill="1">
      <alignment vertical="center"/>
    </xf>
    <xf numFmtId="0" fontId="13" fillId="0" borderId="0" xfId="0" applyFont="1" applyFill="1"/>
    <xf numFmtId="0" fontId="0" fillId="0" borderId="0" xfId="0" applyFill="1"/>
    <xf numFmtId="0" fontId="8" fillId="0" borderId="0" xfId="1" applyFont="1" applyFill="1" applyAlignment="1"/>
    <xf numFmtId="0" fontId="0" fillId="0" borderId="0" xfId="0" applyFont="1" applyFill="1"/>
    <xf numFmtId="0" fontId="8" fillId="0" borderId="0" xfId="1" applyFont="1" applyFill="1">
      <alignment vertical="center"/>
    </xf>
    <xf numFmtId="166" fontId="4" fillId="0" borderId="0" xfId="1" applyNumberFormat="1" applyFont="1" applyFill="1" applyAlignment="1"/>
    <xf numFmtId="167" fontId="3" fillId="0" borderId="0" xfId="1" applyNumberFormat="1" applyFont="1" applyFill="1" applyAlignment="1"/>
    <xf numFmtId="0" fontId="3" fillId="0" borderId="0" xfId="0" applyFont="1" applyFill="1"/>
    <xf numFmtId="0" fontId="3" fillId="0" borderId="0" xfId="1" applyFont="1" applyFill="1" applyAlignment="1">
      <alignment vertical="center" wrapText="1"/>
    </xf>
    <xf numFmtId="0" fontId="3" fillId="0" borderId="0" xfId="1" applyFont="1" applyFill="1" applyAlignment="1">
      <alignment wrapText="1"/>
    </xf>
  </cellXfs>
  <cellStyles count="6">
    <cellStyle name="Normal" xfId="0" builtinId="0"/>
    <cellStyle name="Normal 2" xfId="1"/>
    <cellStyle name="Normal 2 2" xfId="4"/>
    <cellStyle name="Normal 3" xfId="2"/>
    <cellStyle name="Normal 3 2" xfId="5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J18" sqref="J18"/>
    </sheetView>
  </sheetViews>
  <sheetFormatPr defaultColWidth="9" defaultRowHeight="13.5"/>
  <cols>
    <col min="1" max="1" width="16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0.05</v>
      </c>
    </row>
    <row r="3" spans="1:2">
      <c r="A3" t="s">
        <v>3</v>
      </c>
      <c r="B3">
        <v>4</v>
      </c>
    </row>
    <row r="4" spans="1:2">
      <c r="A4" t="s">
        <v>4</v>
      </c>
      <c r="B4">
        <v>24</v>
      </c>
    </row>
    <row r="5" spans="1:2">
      <c r="A5" t="s">
        <v>5</v>
      </c>
      <c r="B5">
        <v>2024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C13" sqref="C13"/>
    </sheetView>
  </sheetViews>
  <sheetFormatPr defaultColWidth="9" defaultRowHeight="13.5"/>
  <sheetData>
    <row r="1" spans="1:1">
      <c r="A1" t="s">
        <v>6</v>
      </c>
    </row>
    <row r="2" spans="1:1">
      <c r="A2" s="3">
        <v>2024</v>
      </c>
    </row>
    <row r="3" spans="1:1">
      <c r="A3" s="3">
        <v>2025</v>
      </c>
    </row>
    <row r="4" spans="1:1">
      <c r="A4" s="3">
        <v>2030</v>
      </c>
    </row>
    <row r="5" spans="1:1">
      <c r="A5" s="3">
        <v>2035</v>
      </c>
    </row>
    <row r="6" spans="1:1">
      <c r="A6" s="3">
        <v>2040</v>
      </c>
    </row>
    <row r="7" spans="1:1">
      <c r="A7" s="3">
        <v>2045</v>
      </c>
    </row>
    <row r="8" spans="1:1">
      <c r="A8" s="3">
        <v>2050</v>
      </c>
    </row>
    <row r="9" spans="1:1">
      <c r="A9" s="3">
        <v>2055</v>
      </c>
    </row>
    <row r="10" spans="1:1">
      <c r="A10" s="3">
        <v>2060</v>
      </c>
    </row>
    <row r="11" spans="1:1">
      <c r="A11" s="3">
        <v>2065</v>
      </c>
    </row>
    <row r="12" spans="1:1">
      <c r="A12" s="3">
        <v>2070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G6" sqref="G6"/>
    </sheetView>
  </sheetViews>
  <sheetFormatPr defaultColWidth="9" defaultRowHeight="13.5"/>
  <sheetData>
    <row r="1" spans="1:3">
      <c r="A1" t="s">
        <v>7</v>
      </c>
      <c r="B1" t="s">
        <v>8</v>
      </c>
      <c r="C1" t="s">
        <v>9</v>
      </c>
    </row>
    <row r="2" spans="1:3">
      <c r="A2" t="s">
        <v>10</v>
      </c>
      <c r="B2">
        <v>94600</v>
      </c>
      <c r="C2">
        <f>+ROUND(B2/31.70979/1000,4)</f>
        <v>2.9832999999999998</v>
      </c>
    </row>
    <row r="3" spans="1:3">
      <c r="A3" t="s">
        <v>11</v>
      </c>
      <c r="B3">
        <v>0</v>
      </c>
      <c r="C3">
        <f t="shared" ref="C3:C6" si="0">+ROUND(B3/31.70979/1000,4)</f>
        <v>0</v>
      </c>
    </row>
    <row r="4" spans="1:3">
      <c r="A4" t="s">
        <v>12</v>
      </c>
      <c r="B4">
        <v>0</v>
      </c>
      <c r="C4">
        <f t="shared" si="0"/>
        <v>0</v>
      </c>
    </row>
    <row r="5" spans="1:3">
      <c r="A5" t="s">
        <v>13</v>
      </c>
      <c r="B5">
        <v>77400</v>
      </c>
      <c r="C5">
        <f t="shared" si="0"/>
        <v>2.4409000000000001</v>
      </c>
    </row>
    <row r="6" spans="1:3">
      <c r="A6" t="s">
        <v>14</v>
      </c>
      <c r="B6">
        <v>56100</v>
      </c>
      <c r="C6">
        <f t="shared" si="0"/>
        <v>1.7692000000000001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F32" sqref="F32"/>
    </sheetView>
  </sheetViews>
  <sheetFormatPr defaultColWidth="9" defaultRowHeight="13.5"/>
  <cols>
    <col min="2" max="2" width="14.125" customWidth="1"/>
  </cols>
  <sheetData>
    <row r="1" spans="1:2">
      <c r="A1" t="s">
        <v>6</v>
      </c>
      <c r="B1" t="s">
        <v>15</v>
      </c>
    </row>
    <row r="2" spans="1:2">
      <c r="A2" s="3">
        <v>2022</v>
      </c>
      <c r="B2" s="19">
        <v>100000</v>
      </c>
    </row>
    <row r="3" spans="1:2">
      <c r="A3" s="3">
        <v>2023</v>
      </c>
      <c r="B3" s="19">
        <v>100000</v>
      </c>
    </row>
    <row r="4" spans="1:2">
      <c r="A4" s="3">
        <v>2024</v>
      </c>
      <c r="B4" s="19">
        <v>100000</v>
      </c>
    </row>
    <row r="5" spans="1:2">
      <c r="A5" s="3">
        <v>2025</v>
      </c>
      <c r="B5" s="19">
        <v>100000</v>
      </c>
    </row>
    <row r="6" spans="1:2">
      <c r="A6" s="3">
        <v>2030</v>
      </c>
      <c r="B6" s="19">
        <v>100000</v>
      </c>
    </row>
    <row r="7" spans="1:2">
      <c r="A7" s="3">
        <v>2035</v>
      </c>
      <c r="B7" s="19">
        <v>100000</v>
      </c>
    </row>
    <row r="8" spans="1:2">
      <c r="A8" s="3">
        <v>2040</v>
      </c>
      <c r="B8" s="19">
        <v>100000</v>
      </c>
    </row>
    <row r="9" spans="1:2">
      <c r="A9" s="3">
        <v>2045</v>
      </c>
      <c r="B9" s="19">
        <v>100000</v>
      </c>
    </row>
    <row r="10" spans="1:2">
      <c r="A10" s="3">
        <v>2050</v>
      </c>
      <c r="B10" s="19">
        <v>100000</v>
      </c>
    </row>
    <row r="11" spans="1:2">
      <c r="A11" s="3">
        <v>2055</v>
      </c>
      <c r="B11" s="19">
        <v>100000</v>
      </c>
    </row>
    <row r="12" spans="1:2">
      <c r="A12" s="3">
        <v>2060</v>
      </c>
      <c r="B12" s="19">
        <v>100000</v>
      </c>
    </row>
    <row r="13" spans="1:2">
      <c r="A13" s="3">
        <v>2065</v>
      </c>
      <c r="B13" s="19">
        <v>100000</v>
      </c>
    </row>
    <row r="14" spans="1:2">
      <c r="A14" s="3">
        <v>2070</v>
      </c>
      <c r="B14" s="19">
        <v>100000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8" sqref="B8"/>
    </sheetView>
  </sheetViews>
  <sheetFormatPr defaultColWidth="9" defaultRowHeight="13.5"/>
  <cols>
    <col min="1" max="1" width="36.125" customWidth="1"/>
    <col min="2" max="2" width="24.125" customWidth="1"/>
    <col min="3" max="3" width="25.125" customWidth="1"/>
  </cols>
  <sheetData>
    <row r="1" spans="1:8" s="12" customFormat="1">
      <c r="A1" s="36" t="s">
        <v>16</v>
      </c>
      <c r="B1" s="48" t="s">
        <v>17</v>
      </c>
      <c r="C1" s="48" t="s">
        <v>18</v>
      </c>
      <c r="G1" s="8"/>
      <c r="H1" s="8"/>
    </row>
    <row r="2" spans="1:8" s="12" customFormat="1">
      <c r="A2" s="34" t="s">
        <v>20</v>
      </c>
      <c r="B2" s="25" t="s">
        <v>19</v>
      </c>
      <c r="C2" s="25" t="s">
        <v>21</v>
      </c>
    </row>
    <row r="3" spans="1:8" s="12" customFormat="1">
      <c r="A3" s="34" t="s">
        <v>22</v>
      </c>
      <c r="B3" s="25" t="s">
        <v>19</v>
      </c>
      <c r="C3" s="25" t="s">
        <v>23</v>
      </c>
    </row>
    <row r="4" spans="1:8" s="12" customFormat="1">
      <c r="A4" s="34" t="s">
        <v>24</v>
      </c>
      <c r="B4" s="25" t="s">
        <v>25</v>
      </c>
      <c r="C4" s="25" t="s">
        <v>26</v>
      </c>
    </row>
    <row r="5" spans="1:8" s="12" customFormat="1">
      <c r="A5" s="34" t="s">
        <v>27</v>
      </c>
      <c r="B5" s="25" t="s">
        <v>25</v>
      </c>
      <c r="C5" s="25" t="s">
        <v>28</v>
      </c>
    </row>
    <row r="6" spans="1:8" s="12" customFormat="1">
      <c r="A6" s="37" t="s">
        <v>29</v>
      </c>
      <c r="B6" s="25" t="s">
        <v>30</v>
      </c>
      <c r="C6" s="25" t="s">
        <v>31</v>
      </c>
    </row>
    <row r="7" spans="1:8" s="12" customFormat="1">
      <c r="A7" s="34" t="s">
        <v>32</v>
      </c>
      <c r="B7" s="25" t="s">
        <v>30</v>
      </c>
      <c r="C7" s="25" t="s">
        <v>33</v>
      </c>
    </row>
    <row r="8" spans="1:8" s="12" customFormat="1">
      <c r="A8" s="34" t="s">
        <v>34</v>
      </c>
      <c r="B8" s="25" t="s">
        <v>35</v>
      </c>
      <c r="C8" s="25" t="s">
        <v>35</v>
      </c>
    </row>
    <row r="9" spans="1:8" s="12" customFormat="1">
      <c r="A9" s="34" t="s">
        <v>36</v>
      </c>
      <c r="B9" s="48" t="s">
        <v>13</v>
      </c>
      <c r="C9" s="48" t="s">
        <v>37</v>
      </c>
    </row>
    <row r="10" spans="1:8" s="12" customFormat="1">
      <c r="A10" s="35" t="s">
        <v>38</v>
      </c>
      <c r="B10" s="25" t="s">
        <v>14</v>
      </c>
      <c r="C10" s="25" t="s">
        <v>37</v>
      </c>
    </row>
    <row r="11" spans="1:8">
      <c r="A11" s="34" t="s">
        <v>40</v>
      </c>
      <c r="B11" s="25" t="s">
        <v>39</v>
      </c>
      <c r="C11" s="25" t="s">
        <v>41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Q19" sqref="Q19"/>
    </sheetView>
  </sheetViews>
  <sheetFormatPr defaultColWidth="9" defaultRowHeight="13.5"/>
  <cols>
    <col min="1" max="1" width="9" style="6"/>
    <col min="2" max="2" width="9" style="6" customWidth="1"/>
    <col min="3" max="3" width="10.75" style="6" customWidth="1"/>
    <col min="4" max="6" width="9" style="6"/>
    <col min="7" max="7" width="15.875" style="6" customWidth="1"/>
    <col min="8" max="16384" width="9" style="6"/>
  </cols>
  <sheetData>
    <row r="1" spans="1:6">
      <c r="A1" s="3" t="s">
        <v>42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</row>
    <row r="2" spans="1:6">
      <c r="A2" s="3">
        <v>2022</v>
      </c>
      <c r="B2" s="6">
        <v>0.1</v>
      </c>
      <c r="C2" s="3">
        <v>0.01</v>
      </c>
      <c r="D2" s="3">
        <v>0.1</v>
      </c>
      <c r="E2" s="3">
        <v>0.3</v>
      </c>
      <c r="F2" s="3">
        <v>0.5</v>
      </c>
    </row>
    <row r="3" spans="1:6">
      <c r="A3" s="3">
        <v>2023</v>
      </c>
      <c r="B3" s="6">
        <v>0.1</v>
      </c>
      <c r="C3" s="3">
        <v>0.01</v>
      </c>
      <c r="D3" s="3">
        <v>0.1</v>
      </c>
      <c r="E3" s="3">
        <v>0.3</v>
      </c>
      <c r="F3" s="3">
        <v>0.5</v>
      </c>
    </row>
    <row r="4" spans="1:6">
      <c r="A4" s="3">
        <v>2024</v>
      </c>
      <c r="B4" s="6">
        <v>0.1</v>
      </c>
      <c r="C4" s="3">
        <v>0.01</v>
      </c>
      <c r="D4" s="3">
        <v>0.1</v>
      </c>
      <c r="E4" s="3">
        <v>0.3</v>
      </c>
      <c r="F4" s="3">
        <v>0.5</v>
      </c>
    </row>
    <row r="5" spans="1:6">
      <c r="A5" s="3">
        <v>2025</v>
      </c>
      <c r="B5" s="6">
        <v>0.1</v>
      </c>
      <c r="C5" s="3">
        <v>0.01</v>
      </c>
      <c r="D5" s="3">
        <v>0.1</v>
      </c>
      <c r="E5" s="3">
        <v>0.3</v>
      </c>
      <c r="F5" s="3">
        <v>0.5</v>
      </c>
    </row>
    <row r="6" spans="1:6">
      <c r="A6" s="3">
        <v>2030</v>
      </c>
      <c r="B6" s="6">
        <v>0.1</v>
      </c>
      <c r="C6" s="3">
        <v>0.01</v>
      </c>
      <c r="D6" s="3">
        <v>0.1</v>
      </c>
      <c r="E6" s="3">
        <v>0.3</v>
      </c>
      <c r="F6" s="3">
        <v>0.5</v>
      </c>
    </row>
    <row r="7" spans="1:6">
      <c r="A7" s="3">
        <v>2035</v>
      </c>
      <c r="B7" s="6">
        <v>0.1</v>
      </c>
      <c r="C7" s="3">
        <v>0.01</v>
      </c>
      <c r="D7" s="3">
        <v>0.1</v>
      </c>
      <c r="E7" s="3">
        <v>0.3</v>
      </c>
      <c r="F7" s="3">
        <v>0.5</v>
      </c>
    </row>
    <row r="8" spans="1:6">
      <c r="A8" s="3">
        <v>2040</v>
      </c>
      <c r="B8" s="6">
        <v>0.1</v>
      </c>
      <c r="C8" s="3">
        <v>0.01</v>
      </c>
      <c r="D8" s="3">
        <v>0.1</v>
      </c>
      <c r="E8" s="3">
        <v>0.3</v>
      </c>
      <c r="F8" s="3">
        <v>0.5</v>
      </c>
    </row>
    <row r="9" spans="1:6">
      <c r="A9" s="3">
        <v>2045</v>
      </c>
      <c r="B9" s="6">
        <v>0.1</v>
      </c>
      <c r="C9" s="3">
        <v>0.01</v>
      </c>
      <c r="D9" s="3">
        <v>0.1</v>
      </c>
      <c r="E9" s="3">
        <v>0.3</v>
      </c>
      <c r="F9" s="3">
        <v>0.5</v>
      </c>
    </row>
    <row r="10" spans="1:6">
      <c r="A10" s="3">
        <v>2050</v>
      </c>
      <c r="B10" s="6">
        <v>0.1</v>
      </c>
      <c r="C10" s="3">
        <v>0.01</v>
      </c>
      <c r="D10" s="3">
        <v>0.1</v>
      </c>
      <c r="E10" s="3">
        <v>0.3</v>
      </c>
      <c r="F10" s="3">
        <v>0.5</v>
      </c>
    </row>
    <row r="11" spans="1:6">
      <c r="A11" s="3">
        <v>2055</v>
      </c>
      <c r="B11" s="6">
        <v>0.1</v>
      </c>
      <c r="C11" s="3">
        <v>0.01</v>
      </c>
      <c r="D11" s="3">
        <v>0.1</v>
      </c>
      <c r="E11" s="3">
        <v>0.3</v>
      </c>
      <c r="F11" s="3">
        <v>0.5</v>
      </c>
    </row>
    <row r="12" spans="1:6">
      <c r="A12" s="3">
        <v>2060</v>
      </c>
      <c r="B12" s="6">
        <v>0.1</v>
      </c>
      <c r="C12" s="3">
        <v>0.01</v>
      </c>
      <c r="D12" s="3">
        <v>0.1</v>
      </c>
      <c r="E12" s="3">
        <v>0.3</v>
      </c>
      <c r="F12" s="3">
        <v>0.5</v>
      </c>
    </row>
    <row r="13" spans="1:6">
      <c r="A13" s="3">
        <v>2065</v>
      </c>
      <c r="B13" s="6">
        <v>0.1</v>
      </c>
      <c r="C13" s="3">
        <v>0.01</v>
      </c>
      <c r="D13" s="3">
        <v>0.1</v>
      </c>
      <c r="E13" s="3">
        <v>0.3</v>
      </c>
      <c r="F13" s="3">
        <v>0.5</v>
      </c>
    </row>
    <row r="14" spans="1:6">
      <c r="A14" s="6">
        <v>2070</v>
      </c>
      <c r="B14" s="6">
        <v>0.1</v>
      </c>
      <c r="C14" s="3">
        <v>0.01</v>
      </c>
      <c r="D14" s="3">
        <v>0.1</v>
      </c>
      <c r="E14" s="3">
        <v>0.3</v>
      </c>
      <c r="F14" s="3">
        <v>0.5</v>
      </c>
    </row>
  </sheetData>
  <phoneticPr fontId="9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zoomScaleNormal="100" workbookViewId="0">
      <selection activeCell="P15" sqref="P15"/>
    </sheetView>
  </sheetViews>
  <sheetFormatPr defaultColWidth="9" defaultRowHeight="13.5"/>
  <cols>
    <col min="1" max="1" width="33.875" style="23" customWidth="1"/>
    <col min="2" max="2" width="15.75" style="23" customWidth="1"/>
    <col min="3" max="3" width="22.375" style="23" customWidth="1"/>
    <col min="4" max="4" width="9.875" style="23" customWidth="1"/>
    <col min="5" max="5" width="14" style="23" customWidth="1"/>
    <col min="6" max="6" width="14.125" style="23" customWidth="1"/>
    <col min="7" max="7" width="11.75" style="23" customWidth="1"/>
    <col min="8" max="8" width="9" style="23"/>
    <col min="9" max="9" width="13.875" style="23" customWidth="1"/>
    <col min="10" max="10" width="13.75" style="23" customWidth="1"/>
    <col min="11" max="11" width="14.375" style="23" customWidth="1"/>
    <col min="12" max="16384" width="9" style="23"/>
  </cols>
  <sheetData>
    <row r="1" spans="1:12">
      <c r="A1" s="36" t="s">
        <v>16</v>
      </c>
      <c r="B1" s="36" t="s">
        <v>17</v>
      </c>
      <c r="C1" s="36" t="s">
        <v>18</v>
      </c>
      <c r="D1" s="36" t="s">
        <v>43</v>
      </c>
      <c r="E1" s="36" t="s">
        <v>7</v>
      </c>
      <c r="F1" s="36" t="s">
        <v>44</v>
      </c>
      <c r="G1" s="36" t="s">
        <v>45</v>
      </c>
      <c r="H1" s="36" t="s">
        <v>60</v>
      </c>
      <c r="I1" s="36" t="s">
        <v>46</v>
      </c>
      <c r="J1" s="36" t="s">
        <v>47</v>
      </c>
      <c r="K1" s="37" t="s">
        <v>48</v>
      </c>
      <c r="L1" s="37" t="s">
        <v>49</v>
      </c>
    </row>
    <row r="2" spans="1:12">
      <c r="A2" s="34" t="s">
        <v>20</v>
      </c>
      <c r="B2" s="34" t="s">
        <v>19</v>
      </c>
      <c r="C2" s="34" t="s">
        <v>21</v>
      </c>
      <c r="D2" s="34" t="s">
        <v>50</v>
      </c>
      <c r="E2" s="34" t="s">
        <v>11</v>
      </c>
      <c r="F2" s="38"/>
      <c r="G2" s="34">
        <v>10</v>
      </c>
      <c r="H2" s="37">
        <v>50</v>
      </c>
      <c r="I2" s="38">
        <f>3412/10497</f>
        <v>0.32504525102410214</v>
      </c>
      <c r="J2" s="37">
        <v>0.9</v>
      </c>
      <c r="K2" s="37">
        <f>IFERROR(VLOOKUP(E2,emissionfactors!$A$1:$C$8,3,FALSE)/I2,0)</f>
        <v>0</v>
      </c>
      <c r="L2" s="37">
        <v>2025</v>
      </c>
    </row>
    <row r="3" spans="1:12">
      <c r="A3" s="34" t="s">
        <v>22</v>
      </c>
      <c r="B3" s="34" t="s">
        <v>19</v>
      </c>
      <c r="C3" s="34" t="s">
        <v>23</v>
      </c>
      <c r="D3" s="34" t="s">
        <v>50</v>
      </c>
      <c r="E3" s="34" t="s">
        <v>11</v>
      </c>
      <c r="F3" s="38"/>
      <c r="G3" s="34">
        <v>10</v>
      </c>
      <c r="H3" s="37">
        <v>50</v>
      </c>
      <c r="I3" s="38">
        <v>0.33</v>
      </c>
      <c r="J3" s="37">
        <v>0.9</v>
      </c>
      <c r="K3" s="37">
        <f>IFERROR(VLOOKUP(E3,emissionfactors!$A$1:$C$8,3,FALSE)/I3,0)</f>
        <v>0</v>
      </c>
      <c r="L3" s="37">
        <v>2025</v>
      </c>
    </row>
    <row r="4" spans="1:12">
      <c r="A4" s="34" t="s">
        <v>24</v>
      </c>
      <c r="B4" s="34" t="s">
        <v>25</v>
      </c>
      <c r="C4" s="34" t="s">
        <v>26</v>
      </c>
      <c r="D4" s="34" t="s">
        <v>51</v>
      </c>
      <c r="E4" s="37"/>
      <c r="F4" s="34"/>
      <c r="G4" s="39">
        <v>4</v>
      </c>
      <c r="H4" s="37">
        <v>20</v>
      </c>
      <c r="I4" s="38">
        <v>1</v>
      </c>
      <c r="J4" s="37">
        <v>1</v>
      </c>
      <c r="K4" s="37">
        <f>IFERROR(VLOOKUP(E4,emissionfactors!$A$1:$C$8,3,FALSE)/I4,0)</f>
        <v>0</v>
      </c>
      <c r="L4" s="37">
        <v>2030</v>
      </c>
    </row>
    <row r="5" spans="1:12">
      <c r="A5" s="34" t="s">
        <v>27</v>
      </c>
      <c r="B5" s="34" t="s">
        <v>25</v>
      </c>
      <c r="C5" s="34" t="s">
        <v>28</v>
      </c>
      <c r="D5" s="34" t="s">
        <v>51</v>
      </c>
      <c r="E5" s="37"/>
      <c r="F5" s="34"/>
      <c r="G5" s="39">
        <v>4</v>
      </c>
      <c r="H5" s="37">
        <v>20</v>
      </c>
      <c r="I5" s="38">
        <v>1</v>
      </c>
      <c r="J5" s="37">
        <v>1</v>
      </c>
      <c r="K5" s="37">
        <f>IFERROR(VLOOKUP(E5,emissionfactors!$A$1:$C$8,3,FALSE)/I5,0)</f>
        <v>0</v>
      </c>
      <c r="L5" s="37"/>
    </row>
    <row r="6" spans="1:12">
      <c r="A6" s="37" t="s">
        <v>29</v>
      </c>
      <c r="B6" s="34" t="s">
        <v>30</v>
      </c>
      <c r="C6" s="34" t="s">
        <v>31</v>
      </c>
      <c r="D6" s="34" t="s">
        <v>51</v>
      </c>
      <c r="E6" s="37"/>
      <c r="F6" s="34"/>
      <c r="G6" s="39">
        <v>4</v>
      </c>
      <c r="H6" s="37">
        <v>20</v>
      </c>
      <c r="I6" s="38">
        <v>1</v>
      </c>
      <c r="J6" s="37">
        <v>1</v>
      </c>
      <c r="K6" s="37">
        <f>IFERROR(VLOOKUP(E6,emissionfactors!$A$1:$C$8,3,FALSE)/I6,0)</f>
        <v>0</v>
      </c>
      <c r="L6" s="37"/>
    </row>
    <row r="7" spans="1:12">
      <c r="A7" s="34" t="s">
        <v>32</v>
      </c>
      <c r="B7" s="34" t="s">
        <v>30</v>
      </c>
      <c r="C7" s="34" t="s">
        <v>33</v>
      </c>
      <c r="D7" s="34" t="s">
        <v>51</v>
      </c>
      <c r="E7" s="37"/>
      <c r="F7" s="34"/>
      <c r="G7" s="39">
        <v>4</v>
      </c>
      <c r="H7" s="37">
        <v>20</v>
      </c>
      <c r="I7" s="38">
        <v>1</v>
      </c>
      <c r="J7" s="37">
        <v>1</v>
      </c>
      <c r="K7" s="37">
        <f>IFERROR(VLOOKUP(E7,emissionfactors!$A$1:$C$8,3,FALSE)/I7,0)</f>
        <v>0</v>
      </c>
      <c r="L7" s="37"/>
    </row>
    <row r="8" spans="1:12">
      <c r="A8" s="34" t="s">
        <v>34</v>
      </c>
      <c r="B8" s="34" t="s">
        <v>35</v>
      </c>
      <c r="C8" s="34" t="s">
        <v>35</v>
      </c>
      <c r="D8" s="34" t="s">
        <v>50</v>
      </c>
      <c r="E8" s="34" t="s">
        <v>12</v>
      </c>
      <c r="F8" s="37"/>
      <c r="G8" s="39">
        <v>4</v>
      </c>
      <c r="H8" s="37">
        <v>25</v>
      </c>
      <c r="I8" s="38">
        <v>0.3</v>
      </c>
      <c r="J8" s="37">
        <v>0.8</v>
      </c>
      <c r="K8" s="37">
        <f>IFERROR(VLOOKUP(E8,emissionfactors!$A$1:$C$8,3,FALSE)/I8,0)</f>
        <v>0</v>
      </c>
      <c r="L8" s="37"/>
    </row>
    <row r="9" spans="1:12">
      <c r="A9" s="34" t="s">
        <v>36</v>
      </c>
      <c r="B9" s="34" t="s">
        <v>13</v>
      </c>
      <c r="C9" s="34" t="s">
        <v>37</v>
      </c>
      <c r="D9" s="34" t="s">
        <v>50</v>
      </c>
      <c r="E9" s="34" t="s">
        <v>13</v>
      </c>
      <c r="F9" s="37"/>
      <c r="G9" s="37">
        <v>4</v>
      </c>
      <c r="H9" s="37">
        <v>25</v>
      </c>
      <c r="I9" s="40">
        <v>0.3</v>
      </c>
      <c r="J9" s="37">
        <v>0.9</v>
      </c>
      <c r="K9" s="37">
        <f>IFERROR(VLOOKUP(E9,emissionfactors!$A$1:$C$8,3,FALSE)/I9,0)</f>
        <v>8.1363333333333347</v>
      </c>
      <c r="L9" s="37"/>
    </row>
    <row r="10" spans="1:12">
      <c r="A10" s="35" t="s">
        <v>38</v>
      </c>
      <c r="B10" s="34" t="s">
        <v>14</v>
      </c>
      <c r="C10" s="34" t="s">
        <v>37</v>
      </c>
      <c r="D10" s="34" t="s">
        <v>50</v>
      </c>
      <c r="E10" s="34" t="s">
        <v>14</v>
      </c>
      <c r="F10" s="34"/>
      <c r="G10" s="34">
        <v>4</v>
      </c>
      <c r="H10" s="37">
        <v>30</v>
      </c>
      <c r="I10" s="38">
        <v>0.5</v>
      </c>
      <c r="J10" s="37">
        <v>0.8</v>
      </c>
      <c r="K10" s="37">
        <f>IFERROR(VLOOKUP(E10,emissionfactors!$A$1:$C$8,3,FALSE)/I10,0)</f>
        <v>3.5384000000000002</v>
      </c>
      <c r="L10" s="37"/>
    </row>
    <row r="11" spans="1:12">
      <c r="A11" s="34" t="s">
        <v>40</v>
      </c>
      <c r="B11" s="34" t="s">
        <v>39</v>
      </c>
      <c r="C11" s="34" t="s">
        <v>41</v>
      </c>
      <c r="D11" s="34" t="s">
        <v>50</v>
      </c>
      <c r="E11" s="34" t="s">
        <v>10</v>
      </c>
      <c r="F11" s="34"/>
      <c r="G11" s="34">
        <v>4</v>
      </c>
      <c r="H11" s="37">
        <v>30</v>
      </c>
      <c r="I11" s="40">
        <v>0.45</v>
      </c>
      <c r="J11" s="37">
        <v>0.8</v>
      </c>
      <c r="K11" s="37">
        <f>IFERROR(VLOOKUP(E11,emissionfactors!$A$1:$C$8,3,FALSE)/I11,0)</f>
        <v>6.6295555555555552</v>
      </c>
      <c r="L11" s="37">
        <v>2025</v>
      </c>
    </row>
  </sheetData>
  <phoneticPr fontId="9" type="noConversion"/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F7" sqref="F7"/>
    </sheetView>
  </sheetViews>
  <sheetFormatPr defaultRowHeight="13.5"/>
  <cols>
    <col min="3" max="3" width="31.375" customWidth="1"/>
    <col min="4" max="4" width="13.375" customWidth="1"/>
    <col min="5" max="5" width="11.625" customWidth="1"/>
    <col min="6" max="6" width="12.625" customWidth="1"/>
    <col min="7" max="7" width="12.375" customWidth="1"/>
  </cols>
  <sheetData>
    <row r="1" spans="1:7" ht="15">
      <c r="A1" s="43" t="s">
        <v>16</v>
      </c>
      <c r="B1" s="43" t="s">
        <v>17</v>
      </c>
      <c r="C1" s="43" t="s">
        <v>18</v>
      </c>
      <c r="D1" s="43" t="s">
        <v>54</v>
      </c>
      <c r="E1" s="41" t="s">
        <v>55</v>
      </c>
      <c r="F1" s="41" t="s">
        <v>56</v>
      </c>
      <c r="G1" s="41" t="s">
        <v>57</v>
      </c>
    </row>
    <row r="2" spans="1:7" ht="15">
      <c r="A2" s="43" t="s">
        <v>20</v>
      </c>
      <c r="B2" s="43" t="s">
        <v>19</v>
      </c>
      <c r="C2" s="43" t="s">
        <v>21</v>
      </c>
      <c r="D2" s="44">
        <v>1</v>
      </c>
      <c r="E2" s="41"/>
      <c r="F2" s="41"/>
      <c r="G2" s="41"/>
    </row>
    <row r="3" spans="1:7" ht="15">
      <c r="A3" s="43" t="s">
        <v>22</v>
      </c>
      <c r="B3" s="43" t="s">
        <v>19</v>
      </c>
      <c r="C3" s="43" t="s">
        <v>23</v>
      </c>
      <c r="D3" s="44">
        <v>1</v>
      </c>
      <c r="E3" s="41"/>
      <c r="F3" s="41"/>
      <c r="G3" s="41"/>
    </row>
    <row r="4" spans="1:7" ht="15">
      <c r="A4" s="43" t="s">
        <v>24</v>
      </c>
      <c r="B4" s="43" t="s">
        <v>25</v>
      </c>
      <c r="C4" s="43" t="s">
        <v>26</v>
      </c>
      <c r="D4" s="44"/>
      <c r="E4" s="41">
        <v>1</v>
      </c>
      <c r="F4" s="41"/>
      <c r="G4" s="41"/>
    </row>
    <row r="5" spans="1:7" ht="15">
      <c r="A5" s="43" t="s">
        <v>27</v>
      </c>
      <c r="B5" s="43" t="s">
        <v>25</v>
      </c>
      <c r="C5" s="43" t="s">
        <v>28</v>
      </c>
      <c r="D5" s="44"/>
      <c r="E5" s="41"/>
      <c r="F5" s="41"/>
      <c r="G5" s="41"/>
    </row>
    <row r="6" spans="1:7" ht="15">
      <c r="A6" s="45" t="s">
        <v>29</v>
      </c>
      <c r="B6" s="43" t="s">
        <v>30</v>
      </c>
      <c r="C6" s="43" t="s">
        <v>31</v>
      </c>
      <c r="D6" s="44"/>
      <c r="E6" s="41"/>
      <c r="F6" s="41">
        <v>1</v>
      </c>
      <c r="G6" s="41"/>
    </row>
    <row r="7" spans="1:7" ht="15">
      <c r="A7" s="43" t="s">
        <v>32</v>
      </c>
      <c r="B7" s="43" t="s">
        <v>30</v>
      </c>
      <c r="C7" s="43" t="s">
        <v>33</v>
      </c>
      <c r="D7" s="44"/>
      <c r="E7" s="41"/>
      <c r="F7" s="41"/>
      <c r="G7" s="41">
        <v>1</v>
      </c>
    </row>
    <row r="8" spans="1:7" ht="15">
      <c r="A8" s="43" t="s">
        <v>34</v>
      </c>
      <c r="B8" s="43" t="s">
        <v>35</v>
      </c>
      <c r="C8" s="43" t="s">
        <v>35</v>
      </c>
      <c r="D8" s="44"/>
      <c r="E8" s="41"/>
      <c r="F8" s="41"/>
      <c r="G8" s="41"/>
    </row>
    <row r="9" spans="1:7" ht="15">
      <c r="A9" s="34" t="s">
        <v>36</v>
      </c>
      <c r="B9" s="43" t="s">
        <v>13</v>
      </c>
      <c r="C9" s="43" t="s">
        <v>37</v>
      </c>
      <c r="D9" s="44"/>
      <c r="E9" s="41"/>
      <c r="F9" s="41"/>
      <c r="G9" s="41"/>
    </row>
    <row r="10" spans="1:7" ht="15">
      <c r="A10" s="35" t="s">
        <v>38</v>
      </c>
      <c r="B10" s="43" t="s">
        <v>14</v>
      </c>
      <c r="C10" s="43" t="s">
        <v>37</v>
      </c>
      <c r="D10" s="44"/>
      <c r="E10" s="41"/>
      <c r="F10" s="41"/>
      <c r="G10" s="41"/>
    </row>
    <row r="11" spans="1:7" ht="15">
      <c r="A11" s="43" t="s">
        <v>40</v>
      </c>
      <c r="B11" s="43" t="s">
        <v>39</v>
      </c>
      <c r="C11" s="43" t="s">
        <v>41</v>
      </c>
      <c r="D11" s="44"/>
      <c r="E11" s="41"/>
      <c r="F11" s="41"/>
      <c r="G11" s="4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3.5"/>
  <cols>
    <col min="2" max="2" width="12.75" customWidth="1"/>
    <col min="3" max="3" width="16.375" customWidth="1"/>
    <col min="4" max="4" width="11.5" customWidth="1"/>
    <col min="5" max="5" width="11.75" customWidth="1"/>
  </cols>
  <sheetData>
    <row r="1" spans="1:5">
      <c r="A1" t="s">
        <v>6</v>
      </c>
      <c r="B1" t="s">
        <v>54</v>
      </c>
      <c r="C1" t="s">
        <v>55</v>
      </c>
      <c r="D1" t="s">
        <v>56</v>
      </c>
      <c r="E1" t="s">
        <v>57</v>
      </c>
    </row>
    <row r="2" spans="1:5">
      <c r="A2" s="3">
        <v>2022</v>
      </c>
      <c r="B2">
        <v>2000</v>
      </c>
      <c r="C2">
        <v>2000</v>
      </c>
      <c r="D2">
        <v>2000</v>
      </c>
      <c r="E2">
        <v>2000</v>
      </c>
    </row>
    <row r="3" spans="1:5">
      <c r="A3" s="3">
        <v>2023</v>
      </c>
      <c r="B3">
        <v>2000</v>
      </c>
      <c r="C3">
        <v>2000</v>
      </c>
      <c r="D3">
        <v>2000</v>
      </c>
      <c r="E3">
        <v>2000</v>
      </c>
    </row>
    <row r="4" spans="1:5">
      <c r="A4" s="3">
        <v>2024</v>
      </c>
      <c r="B4">
        <v>2000</v>
      </c>
      <c r="C4">
        <v>2000</v>
      </c>
      <c r="D4">
        <v>2000</v>
      </c>
      <c r="E4">
        <v>2000</v>
      </c>
    </row>
    <row r="5" spans="1:5">
      <c r="A5" s="3">
        <v>2025</v>
      </c>
      <c r="B5">
        <v>2000</v>
      </c>
      <c r="C5">
        <v>2000</v>
      </c>
      <c r="D5">
        <v>2000</v>
      </c>
      <c r="E5">
        <v>2000</v>
      </c>
    </row>
    <row r="6" spans="1:5">
      <c r="A6" s="3">
        <v>2030</v>
      </c>
      <c r="B6">
        <v>2000</v>
      </c>
      <c r="C6">
        <v>2000</v>
      </c>
      <c r="D6">
        <v>2000</v>
      </c>
      <c r="E6">
        <v>2000</v>
      </c>
    </row>
    <row r="7" spans="1:5">
      <c r="A7" s="3">
        <v>2035</v>
      </c>
      <c r="B7">
        <v>2000</v>
      </c>
      <c r="C7">
        <v>2000</v>
      </c>
      <c r="D7">
        <v>2000</v>
      </c>
      <c r="E7">
        <v>2000</v>
      </c>
    </row>
    <row r="8" spans="1:5">
      <c r="A8" s="3">
        <v>2040</v>
      </c>
      <c r="B8">
        <v>2000</v>
      </c>
      <c r="C8">
        <v>2000</v>
      </c>
      <c r="D8">
        <v>2000</v>
      </c>
      <c r="E8">
        <v>2000</v>
      </c>
    </row>
    <row r="9" spans="1:5">
      <c r="A9" s="3">
        <v>2045</v>
      </c>
      <c r="B9">
        <v>2000</v>
      </c>
      <c r="C9">
        <v>2000</v>
      </c>
      <c r="D9">
        <v>2000</v>
      </c>
      <c r="E9">
        <v>2000</v>
      </c>
    </row>
    <row r="10" spans="1:5">
      <c r="A10" s="3">
        <v>2050</v>
      </c>
      <c r="B10">
        <v>2000</v>
      </c>
      <c r="C10">
        <v>2000</v>
      </c>
      <c r="D10">
        <v>2000</v>
      </c>
      <c r="E10">
        <v>2000</v>
      </c>
    </row>
    <row r="11" spans="1:5">
      <c r="A11" s="3">
        <v>2055</v>
      </c>
      <c r="B11">
        <v>2000</v>
      </c>
      <c r="C11">
        <v>2000</v>
      </c>
      <c r="D11">
        <v>2000</v>
      </c>
      <c r="E11">
        <v>2000</v>
      </c>
    </row>
    <row r="12" spans="1:5">
      <c r="A12" s="3">
        <v>2060</v>
      </c>
      <c r="B12">
        <v>2000</v>
      </c>
      <c r="C12">
        <v>2000</v>
      </c>
      <c r="D12">
        <v>2000</v>
      </c>
      <c r="E12">
        <v>2000</v>
      </c>
    </row>
    <row r="13" spans="1:5">
      <c r="A13" s="3">
        <v>2065</v>
      </c>
      <c r="B13">
        <v>2000</v>
      </c>
      <c r="C13">
        <v>2000</v>
      </c>
      <c r="D13">
        <v>2000</v>
      </c>
      <c r="E13">
        <v>2000</v>
      </c>
    </row>
    <row r="14" spans="1:5">
      <c r="A14" s="3">
        <v>2070</v>
      </c>
      <c r="B14">
        <v>2000</v>
      </c>
      <c r="C14">
        <v>2000</v>
      </c>
      <c r="D14">
        <v>2000</v>
      </c>
      <c r="E14">
        <v>2000</v>
      </c>
    </row>
    <row r="16" spans="1:5">
      <c r="C16" s="20"/>
    </row>
    <row r="17" spans="3:3">
      <c r="C17" s="20"/>
    </row>
    <row r="18" spans="3:3">
      <c r="C18" s="20"/>
    </row>
    <row r="19" spans="3:3">
      <c r="C19" s="20"/>
    </row>
    <row r="20" spans="3:3">
      <c r="C20" s="20"/>
    </row>
    <row r="21" spans="3:3">
      <c r="C21" s="20"/>
    </row>
    <row r="22" spans="3:3">
      <c r="C22" s="20"/>
    </row>
    <row r="23" spans="3:3">
      <c r="C23" s="20"/>
    </row>
    <row r="24" spans="3:3">
      <c r="C24" s="20"/>
    </row>
    <row r="25" spans="3:3">
      <c r="C25" s="20"/>
    </row>
  </sheetData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0" sqref="D10"/>
    </sheetView>
  </sheetViews>
  <sheetFormatPr defaultRowHeight="13.5"/>
  <cols>
    <col min="1" max="1" width="19.875" style="42" customWidth="1"/>
    <col min="2" max="16384" width="9" style="42"/>
  </cols>
  <sheetData>
    <row r="1" spans="1:4">
      <c r="A1" s="42" t="s">
        <v>58</v>
      </c>
      <c r="B1" s="42" t="s">
        <v>43</v>
      </c>
      <c r="C1" s="42" t="s">
        <v>61</v>
      </c>
      <c r="D1" s="42" t="s">
        <v>62</v>
      </c>
    </row>
    <row r="2" spans="1:4">
      <c r="A2" s="42" t="s">
        <v>54</v>
      </c>
      <c r="B2" s="42" t="s">
        <v>59</v>
      </c>
    </row>
    <row r="3" spans="1:4">
      <c r="A3" s="42" t="s">
        <v>55</v>
      </c>
      <c r="B3" s="42" t="s">
        <v>59</v>
      </c>
    </row>
    <row r="4" spans="1:4">
      <c r="A4" s="42" t="s">
        <v>56</v>
      </c>
      <c r="B4" s="42" t="s">
        <v>59</v>
      </c>
    </row>
    <row r="5" spans="1:4">
      <c r="A5" s="42" t="s">
        <v>57</v>
      </c>
      <c r="B5" s="42" t="s">
        <v>59</v>
      </c>
    </row>
  </sheetData>
  <phoneticPr fontId="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zoomScale="115" zoomScaleNormal="115" workbookViewId="0">
      <pane ySplit="1" topLeftCell="A2" activePane="bottomLeft" state="frozen"/>
      <selection pane="bottomLeft" activeCell="J9" sqref="J9"/>
    </sheetView>
  </sheetViews>
  <sheetFormatPr defaultColWidth="9" defaultRowHeight="13.5"/>
  <cols>
    <col min="1" max="1" width="14.75" style="9" customWidth="1"/>
    <col min="2" max="2" width="26" style="10" customWidth="1"/>
    <col min="3" max="3" width="8.625" style="9" customWidth="1"/>
    <col min="4" max="4" width="9.125" style="9" customWidth="1"/>
    <col min="5" max="5" width="8.75" style="9" customWidth="1"/>
    <col min="6" max="6" width="9.875" style="9" customWidth="1"/>
    <col min="7" max="7" width="9.625" style="9" customWidth="1"/>
    <col min="8" max="8" width="9.875" style="9" customWidth="1"/>
    <col min="9" max="9" width="10.125" style="9" customWidth="1"/>
    <col min="10" max="10" width="10.25" style="9" customWidth="1"/>
    <col min="11" max="11" width="9.375" style="9" customWidth="1"/>
    <col min="12" max="12" width="9.875" style="9" customWidth="1"/>
    <col min="13" max="13" width="9.375" style="9" customWidth="1"/>
    <col min="14" max="14" width="9" style="9" customWidth="1"/>
    <col min="15" max="16384" width="9" style="9"/>
  </cols>
  <sheetData>
    <row r="1" spans="1:15" s="7" customFormat="1">
      <c r="A1" s="22" t="s">
        <v>17</v>
      </c>
      <c r="B1" s="22" t="s">
        <v>18</v>
      </c>
      <c r="C1" s="36">
        <v>2022</v>
      </c>
      <c r="D1" s="36">
        <v>2023</v>
      </c>
      <c r="E1" s="36">
        <v>2024</v>
      </c>
      <c r="F1" s="36">
        <v>2025</v>
      </c>
      <c r="G1" s="36">
        <v>2030</v>
      </c>
      <c r="H1" s="36">
        <v>2035</v>
      </c>
      <c r="I1" s="36">
        <v>2040</v>
      </c>
      <c r="J1" s="36">
        <v>2045</v>
      </c>
      <c r="K1" s="36">
        <v>2050</v>
      </c>
      <c r="L1" s="36">
        <v>2055</v>
      </c>
      <c r="M1" s="36">
        <v>2060</v>
      </c>
      <c r="N1" s="36">
        <v>2065</v>
      </c>
      <c r="O1" s="22">
        <v>2070</v>
      </c>
    </row>
    <row r="2" spans="1:15">
      <c r="A2" s="25" t="s">
        <v>35</v>
      </c>
      <c r="B2" s="25" t="s">
        <v>35</v>
      </c>
      <c r="C2" s="34">
        <v>1000</v>
      </c>
      <c r="D2" s="34">
        <v>1000</v>
      </c>
      <c r="E2" s="34">
        <v>1000</v>
      </c>
      <c r="F2" s="34">
        <v>1000</v>
      </c>
      <c r="G2" s="34">
        <v>1000</v>
      </c>
      <c r="H2" s="34">
        <v>1000</v>
      </c>
      <c r="I2" s="34">
        <v>1000</v>
      </c>
      <c r="J2" s="34">
        <v>1000</v>
      </c>
      <c r="K2" s="34">
        <v>1000</v>
      </c>
      <c r="L2" s="34">
        <v>1000</v>
      </c>
      <c r="M2" s="34">
        <v>1000</v>
      </c>
      <c r="N2" s="34">
        <v>1000</v>
      </c>
      <c r="O2" s="34">
        <v>1000</v>
      </c>
    </row>
    <row r="3" spans="1:15">
      <c r="A3" s="25" t="s">
        <v>39</v>
      </c>
      <c r="B3" s="25" t="s">
        <v>41</v>
      </c>
      <c r="C3" s="34">
        <v>1000</v>
      </c>
      <c r="D3" s="34">
        <v>1000</v>
      </c>
      <c r="E3" s="34">
        <v>1000</v>
      </c>
      <c r="F3" s="34">
        <v>1000</v>
      </c>
      <c r="G3" s="34">
        <v>1000</v>
      </c>
      <c r="H3" s="34">
        <v>1000</v>
      </c>
      <c r="I3" s="34">
        <v>1000</v>
      </c>
      <c r="J3" s="34">
        <v>1000</v>
      </c>
      <c r="K3" s="34">
        <v>1000</v>
      </c>
      <c r="L3" s="34">
        <v>1000</v>
      </c>
      <c r="M3" s="34">
        <v>1000</v>
      </c>
      <c r="N3" s="34">
        <v>1000</v>
      </c>
      <c r="O3" s="34">
        <v>1000</v>
      </c>
    </row>
    <row r="4" spans="1:15">
      <c r="A4" s="25" t="s">
        <v>14</v>
      </c>
      <c r="B4" s="25" t="s">
        <v>37</v>
      </c>
      <c r="C4" s="46">
        <v>2000</v>
      </c>
      <c r="D4" s="46">
        <v>2000</v>
      </c>
      <c r="E4" s="46">
        <v>2000</v>
      </c>
      <c r="F4" s="46">
        <v>2000</v>
      </c>
      <c r="G4" s="46">
        <v>2000</v>
      </c>
      <c r="H4" s="46">
        <v>2000</v>
      </c>
      <c r="I4" s="46">
        <v>2000</v>
      </c>
      <c r="J4" s="46">
        <v>2000</v>
      </c>
      <c r="K4" s="46">
        <v>2000</v>
      </c>
      <c r="L4" s="46">
        <v>2000</v>
      </c>
      <c r="M4" s="46">
        <v>2000</v>
      </c>
      <c r="N4" s="46">
        <v>2000</v>
      </c>
      <c r="O4" s="46">
        <v>2000</v>
      </c>
    </row>
    <row r="5" spans="1:15">
      <c r="A5" s="25" t="s">
        <v>19</v>
      </c>
      <c r="B5" s="25" t="s">
        <v>21</v>
      </c>
      <c r="C5" s="47">
        <v>6000</v>
      </c>
      <c r="D5" s="47">
        <v>6000</v>
      </c>
      <c r="E5" s="47">
        <v>6000</v>
      </c>
      <c r="F5" s="47">
        <v>6000</v>
      </c>
      <c r="G5" s="47">
        <v>6000</v>
      </c>
      <c r="H5" s="47">
        <v>6000</v>
      </c>
      <c r="I5" s="47">
        <v>6000</v>
      </c>
      <c r="J5" s="47">
        <v>6000</v>
      </c>
      <c r="K5" s="47">
        <v>6000</v>
      </c>
      <c r="L5" s="47">
        <v>6000</v>
      </c>
      <c r="M5" s="47">
        <v>6000</v>
      </c>
      <c r="N5" s="47">
        <v>6000</v>
      </c>
      <c r="O5" s="47">
        <v>6000</v>
      </c>
    </row>
    <row r="6" spans="1:15">
      <c r="A6" s="25" t="s">
        <v>19</v>
      </c>
      <c r="B6" s="25" t="s">
        <v>23</v>
      </c>
      <c r="C6" s="47">
        <v>8000</v>
      </c>
      <c r="D6" s="47">
        <v>8000</v>
      </c>
      <c r="E6" s="47">
        <v>8000</v>
      </c>
      <c r="F6" s="47">
        <v>8000</v>
      </c>
      <c r="G6" s="47">
        <v>8000</v>
      </c>
      <c r="H6" s="47">
        <v>8000</v>
      </c>
      <c r="I6" s="47">
        <v>8000</v>
      </c>
      <c r="J6" s="47">
        <v>8000</v>
      </c>
      <c r="K6" s="47">
        <v>8000</v>
      </c>
      <c r="L6" s="47">
        <v>8000</v>
      </c>
      <c r="M6" s="47">
        <v>8000</v>
      </c>
      <c r="N6" s="47">
        <v>8000</v>
      </c>
      <c r="O6" s="47">
        <v>8000</v>
      </c>
    </row>
    <row r="7" spans="1:15">
      <c r="A7" s="25" t="s">
        <v>13</v>
      </c>
      <c r="B7" s="25" t="s">
        <v>37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</row>
    <row r="8" spans="1:15">
      <c r="A8" s="25" t="s">
        <v>25</v>
      </c>
      <c r="B8" s="25" t="s">
        <v>28</v>
      </c>
      <c r="C8" s="25">
        <v>3000</v>
      </c>
      <c r="D8" s="25">
        <v>3000</v>
      </c>
      <c r="E8" s="25">
        <v>3000</v>
      </c>
      <c r="F8" s="25">
        <v>3000</v>
      </c>
      <c r="G8" s="25">
        <v>3000</v>
      </c>
      <c r="H8" s="25">
        <v>3000</v>
      </c>
      <c r="I8" s="25">
        <v>3000</v>
      </c>
      <c r="J8" s="25">
        <v>3000</v>
      </c>
      <c r="K8" s="25">
        <v>3000</v>
      </c>
      <c r="L8" s="25">
        <v>3000</v>
      </c>
      <c r="M8" s="25">
        <v>3000</v>
      </c>
      <c r="N8" s="25">
        <v>3000</v>
      </c>
      <c r="O8" s="25">
        <v>3000</v>
      </c>
    </row>
    <row r="9" spans="1:15">
      <c r="A9" s="25" t="s">
        <v>25</v>
      </c>
      <c r="B9" s="25" t="s">
        <v>26</v>
      </c>
      <c r="C9" s="34">
        <v>2000</v>
      </c>
      <c r="D9" s="34">
        <v>2000</v>
      </c>
      <c r="E9" s="34">
        <v>2000</v>
      </c>
      <c r="F9" s="34">
        <v>2000</v>
      </c>
      <c r="G9" s="34">
        <v>2000</v>
      </c>
      <c r="H9" s="34">
        <v>2000</v>
      </c>
      <c r="I9" s="34">
        <v>2000</v>
      </c>
      <c r="J9" s="34">
        <v>2000</v>
      </c>
      <c r="K9" s="34">
        <v>2000</v>
      </c>
      <c r="L9" s="34">
        <v>2000</v>
      </c>
      <c r="M9" s="34">
        <v>2000</v>
      </c>
      <c r="N9" s="34">
        <v>2000</v>
      </c>
      <c r="O9" s="34">
        <v>2000</v>
      </c>
    </row>
    <row r="10" spans="1:15">
      <c r="A10" s="25" t="s">
        <v>30</v>
      </c>
      <c r="B10" s="25" t="s">
        <v>31</v>
      </c>
      <c r="C10" s="34">
        <v>2000</v>
      </c>
      <c r="D10" s="34">
        <v>2000</v>
      </c>
      <c r="E10" s="34">
        <v>2000</v>
      </c>
      <c r="F10" s="34">
        <v>2000</v>
      </c>
      <c r="G10" s="34">
        <v>2000</v>
      </c>
      <c r="H10" s="34">
        <v>2000</v>
      </c>
      <c r="I10" s="34">
        <v>2000</v>
      </c>
      <c r="J10" s="34">
        <v>2000</v>
      </c>
      <c r="K10" s="34">
        <v>2000</v>
      </c>
      <c r="L10" s="34">
        <v>2000</v>
      </c>
      <c r="M10" s="34">
        <v>2000</v>
      </c>
      <c r="N10" s="34">
        <v>2000</v>
      </c>
      <c r="O10" s="34">
        <v>2000</v>
      </c>
    </row>
    <row r="11" spans="1:15">
      <c r="A11" s="25" t="s">
        <v>30</v>
      </c>
      <c r="B11" s="25" t="s">
        <v>33</v>
      </c>
      <c r="C11" s="34">
        <v>2000</v>
      </c>
      <c r="D11" s="34">
        <v>2000</v>
      </c>
      <c r="E11" s="34">
        <v>2000</v>
      </c>
      <c r="F11" s="34">
        <v>2000</v>
      </c>
      <c r="G11" s="34">
        <v>2000</v>
      </c>
      <c r="H11" s="34">
        <v>2000</v>
      </c>
      <c r="I11" s="34">
        <v>2000</v>
      </c>
      <c r="J11" s="34">
        <v>2000</v>
      </c>
      <c r="K11" s="34">
        <v>2000</v>
      </c>
      <c r="L11" s="34">
        <v>2000</v>
      </c>
      <c r="M11" s="34">
        <v>2000</v>
      </c>
      <c r="N11" s="34">
        <v>2000</v>
      </c>
      <c r="O11" s="34">
        <v>2000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activeCell="H8" sqref="H8"/>
    </sheetView>
  </sheetViews>
  <sheetFormatPr defaultColWidth="8.75" defaultRowHeight="13.5"/>
  <cols>
    <col min="1" max="1" width="15.75" style="23" customWidth="1"/>
    <col min="2" max="2" width="28.375" style="23" customWidth="1"/>
    <col min="3" max="15" width="8.75" style="23"/>
    <col min="16" max="16384" width="8.75" style="6"/>
  </cols>
  <sheetData>
    <row r="1" spans="1:15">
      <c r="A1" s="22" t="s">
        <v>17</v>
      </c>
      <c r="B1" s="22" t="s">
        <v>18</v>
      </c>
      <c r="C1" s="36">
        <v>2022</v>
      </c>
      <c r="D1" s="36">
        <v>2023</v>
      </c>
      <c r="E1" s="36">
        <v>2024</v>
      </c>
      <c r="F1" s="36">
        <v>2025</v>
      </c>
      <c r="G1" s="36">
        <v>2030</v>
      </c>
      <c r="H1" s="36">
        <v>2035</v>
      </c>
      <c r="I1" s="36">
        <v>2040</v>
      </c>
      <c r="J1" s="36">
        <v>2045</v>
      </c>
      <c r="K1" s="36">
        <v>2050</v>
      </c>
      <c r="L1" s="36">
        <v>2055</v>
      </c>
      <c r="M1" s="36">
        <v>2060</v>
      </c>
      <c r="N1" s="36">
        <v>2065</v>
      </c>
      <c r="O1" s="37">
        <v>2070</v>
      </c>
    </row>
    <row r="2" spans="1:15">
      <c r="A2" s="25" t="s">
        <v>35</v>
      </c>
      <c r="B2" s="25" t="s">
        <v>35</v>
      </c>
      <c r="C2" s="34">
        <v>20</v>
      </c>
      <c r="D2" s="34">
        <v>20</v>
      </c>
      <c r="E2" s="34">
        <v>20</v>
      </c>
      <c r="F2" s="34">
        <v>20</v>
      </c>
      <c r="G2" s="34">
        <v>20</v>
      </c>
      <c r="H2" s="34">
        <v>20</v>
      </c>
      <c r="I2" s="34">
        <v>20</v>
      </c>
      <c r="J2" s="34">
        <v>20</v>
      </c>
      <c r="K2" s="34">
        <v>20</v>
      </c>
      <c r="L2" s="34">
        <v>20</v>
      </c>
      <c r="M2" s="34">
        <v>20</v>
      </c>
      <c r="N2" s="34">
        <v>20</v>
      </c>
      <c r="O2" s="34">
        <v>20</v>
      </c>
    </row>
    <row r="3" spans="1:15">
      <c r="A3" s="25" t="s">
        <v>39</v>
      </c>
      <c r="B3" s="25" t="s">
        <v>41</v>
      </c>
      <c r="C3" s="34">
        <v>20</v>
      </c>
      <c r="D3" s="34">
        <v>20</v>
      </c>
      <c r="E3" s="34">
        <v>20</v>
      </c>
      <c r="F3" s="34">
        <v>20</v>
      </c>
      <c r="G3" s="34">
        <v>20</v>
      </c>
      <c r="H3" s="34">
        <v>20</v>
      </c>
      <c r="I3" s="34">
        <v>20</v>
      </c>
      <c r="J3" s="34">
        <v>20</v>
      </c>
      <c r="K3" s="34">
        <v>20</v>
      </c>
      <c r="L3" s="34">
        <v>20</v>
      </c>
      <c r="M3" s="34">
        <v>20</v>
      </c>
      <c r="N3" s="34">
        <v>20</v>
      </c>
      <c r="O3" s="34">
        <v>20</v>
      </c>
    </row>
    <row r="4" spans="1:15">
      <c r="A4" s="25" t="s">
        <v>14</v>
      </c>
      <c r="B4" s="25" t="s">
        <v>37</v>
      </c>
      <c r="C4" s="34">
        <v>20</v>
      </c>
      <c r="D4" s="34">
        <v>20</v>
      </c>
      <c r="E4" s="34">
        <v>20</v>
      </c>
      <c r="F4" s="34">
        <v>20</v>
      </c>
      <c r="G4" s="34">
        <v>20</v>
      </c>
      <c r="H4" s="34">
        <v>20</v>
      </c>
      <c r="I4" s="34">
        <v>20</v>
      </c>
      <c r="J4" s="34">
        <v>20</v>
      </c>
      <c r="K4" s="34">
        <v>20</v>
      </c>
      <c r="L4" s="34">
        <v>20</v>
      </c>
      <c r="M4" s="34">
        <v>20</v>
      </c>
      <c r="N4" s="34">
        <v>20</v>
      </c>
      <c r="O4" s="34">
        <v>20</v>
      </c>
    </row>
    <row r="5" spans="1:15">
      <c r="A5" s="25" t="s">
        <v>19</v>
      </c>
      <c r="B5" s="25" t="s">
        <v>21</v>
      </c>
      <c r="C5" s="34">
        <v>20</v>
      </c>
      <c r="D5" s="34">
        <v>20</v>
      </c>
      <c r="E5" s="34">
        <v>20</v>
      </c>
      <c r="F5" s="34">
        <v>20</v>
      </c>
      <c r="G5" s="34">
        <v>20</v>
      </c>
      <c r="H5" s="34">
        <v>20</v>
      </c>
      <c r="I5" s="34">
        <v>20</v>
      </c>
      <c r="J5" s="34">
        <v>20</v>
      </c>
      <c r="K5" s="34">
        <v>20</v>
      </c>
      <c r="L5" s="34">
        <v>20</v>
      </c>
      <c r="M5" s="34">
        <v>20</v>
      </c>
      <c r="N5" s="34">
        <v>20</v>
      </c>
      <c r="O5" s="34">
        <v>20</v>
      </c>
    </row>
    <row r="6" spans="1:15">
      <c r="A6" s="25" t="s">
        <v>19</v>
      </c>
      <c r="B6" s="25" t="s">
        <v>23</v>
      </c>
      <c r="C6" s="34">
        <v>20</v>
      </c>
      <c r="D6" s="34">
        <v>20</v>
      </c>
      <c r="E6" s="34">
        <v>20</v>
      </c>
      <c r="F6" s="34">
        <v>20</v>
      </c>
      <c r="G6" s="34">
        <v>20</v>
      </c>
      <c r="H6" s="34">
        <v>20</v>
      </c>
      <c r="I6" s="34">
        <v>20</v>
      </c>
      <c r="J6" s="34">
        <v>20</v>
      </c>
      <c r="K6" s="34">
        <v>20</v>
      </c>
      <c r="L6" s="34">
        <v>20</v>
      </c>
      <c r="M6" s="34">
        <v>20</v>
      </c>
      <c r="N6" s="34">
        <v>20</v>
      </c>
      <c r="O6" s="34">
        <v>20</v>
      </c>
    </row>
    <row r="7" spans="1:15">
      <c r="A7" s="25" t="s">
        <v>13</v>
      </c>
      <c r="B7" s="25" t="s">
        <v>37</v>
      </c>
      <c r="C7" s="34">
        <v>20</v>
      </c>
      <c r="D7" s="34">
        <v>20</v>
      </c>
      <c r="E7" s="34">
        <v>20</v>
      </c>
      <c r="F7" s="34">
        <v>20</v>
      </c>
      <c r="G7" s="34">
        <v>20</v>
      </c>
      <c r="H7" s="34">
        <v>20</v>
      </c>
      <c r="I7" s="34">
        <v>20</v>
      </c>
      <c r="J7" s="34">
        <v>20</v>
      </c>
      <c r="K7" s="34">
        <v>20</v>
      </c>
      <c r="L7" s="34">
        <v>20</v>
      </c>
      <c r="M7" s="34">
        <v>20</v>
      </c>
      <c r="N7" s="34">
        <v>20</v>
      </c>
      <c r="O7" s="34">
        <v>20</v>
      </c>
    </row>
    <row r="8" spans="1:15">
      <c r="A8" s="25" t="s">
        <v>25</v>
      </c>
      <c r="B8" s="25" t="s">
        <v>28</v>
      </c>
      <c r="C8" s="34">
        <v>20</v>
      </c>
      <c r="D8" s="34">
        <v>20</v>
      </c>
      <c r="E8" s="34">
        <v>20</v>
      </c>
      <c r="F8" s="34">
        <v>20</v>
      </c>
      <c r="G8" s="34">
        <v>20</v>
      </c>
      <c r="H8" s="34">
        <v>20</v>
      </c>
      <c r="I8" s="34">
        <v>20</v>
      </c>
      <c r="J8" s="34">
        <v>20</v>
      </c>
      <c r="K8" s="34">
        <v>20</v>
      </c>
      <c r="L8" s="34">
        <v>20</v>
      </c>
      <c r="M8" s="34">
        <v>20</v>
      </c>
      <c r="N8" s="34">
        <v>20</v>
      </c>
      <c r="O8" s="34">
        <v>20</v>
      </c>
    </row>
    <row r="9" spans="1:15">
      <c r="A9" s="25" t="s">
        <v>25</v>
      </c>
      <c r="B9" s="25" t="s">
        <v>26</v>
      </c>
      <c r="C9" s="34">
        <v>20</v>
      </c>
      <c r="D9" s="34">
        <v>20</v>
      </c>
      <c r="E9" s="34">
        <v>20</v>
      </c>
      <c r="F9" s="34">
        <v>20</v>
      </c>
      <c r="G9" s="34">
        <v>20</v>
      </c>
      <c r="H9" s="34">
        <v>20</v>
      </c>
      <c r="I9" s="34">
        <v>20</v>
      </c>
      <c r="J9" s="34">
        <v>20</v>
      </c>
      <c r="K9" s="34">
        <v>20</v>
      </c>
      <c r="L9" s="34">
        <v>20</v>
      </c>
      <c r="M9" s="34">
        <v>20</v>
      </c>
      <c r="N9" s="34">
        <v>20</v>
      </c>
      <c r="O9" s="34">
        <v>20</v>
      </c>
    </row>
    <row r="10" spans="1:15">
      <c r="A10" s="25" t="s">
        <v>30</v>
      </c>
      <c r="B10" s="25" t="s">
        <v>31</v>
      </c>
      <c r="C10" s="34">
        <v>20</v>
      </c>
      <c r="D10" s="34">
        <v>20</v>
      </c>
      <c r="E10" s="34">
        <v>20</v>
      </c>
      <c r="F10" s="34">
        <v>20</v>
      </c>
      <c r="G10" s="34">
        <v>20</v>
      </c>
      <c r="H10" s="34">
        <v>20</v>
      </c>
      <c r="I10" s="34">
        <v>20</v>
      </c>
      <c r="J10" s="34">
        <v>20</v>
      </c>
      <c r="K10" s="34">
        <v>20</v>
      </c>
      <c r="L10" s="34">
        <v>20</v>
      </c>
      <c r="M10" s="34">
        <v>20</v>
      </c>
      <c r="N10" s="34">
        <v>20</v>
      </c>
      <c r="O10" s="34">
        <v>20</v>
      </c>
    </row>
    <row r="11" spans="1:15">
      <c r="A11" s="25" t="s">
        <v>30</v>
      </c>
      <c r="B11" s="25" t="s">
        <v>33</v>
      </c>
      <c r="C11" s="34">
        <v>20</v>
      </c>
      <c r="D11" s="34">
        <v>20</v>
      </c>
      <c r="E11" s="34">
        <v>20</v>
      </c>
      <c r="F11" s="34">
        <v>20</v>
      </c>
      <c r="G11" s="34">
        <v>20</v>
      </c>
      <c r="H11" s="34">
        <v>20</v>
      </c>
      <c r="I11" s="34">
        <v>20</v>
      </c>
      <c r="J11" s="34">
        <v>20</v>
      </c>
      <c r="K11" s="34">
        <v>20</v>
      </c>
      <c r="L11" s="34">
        <v>20</v>
      </c>
      <c r="M11" s="34">
        <v>20</v>
      </c>
      <c r="N11" s="34">
        <v>20</v>
      </c>
      <c r="O11" s="34">
        <v>20</v>
      </c>
    </row>
    <row r="12" spans="1:15">
      <c r="A12" s="26"/>
      <c r="B12" s="25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1:15">
      <c r="A13" s="26"/>
      <c r="B13" s="25"/>
      <c r="C13" s="29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5">
      <c r="A14" s="26"/>
      <c r="B14" s="25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5">
      <c r="A15" s="26"/>
      <c r="B15" s="25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5">
      <c r="A16" s="26"/>
      <c r="B16" s="25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</row>
    <row r="17" spans="1:14">
      <c r="A17" s="24"/>
      <c r="B17" s="25"/>
      <c r="C17" s="30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spans="1:14">
      <c r="A18" s="24"/>
      <c r="B18" s="25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1:14">
      <c r="A19" s="24"/>
      <c r="B19" s="25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>
      <c r="A20" s="24"/>
      <c r="B20" s="25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spans="1:14">
      <c r="A21" s="24"/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9"/>
      <c r="N21" s="29"/>
    </row>
    <row r="22" spans="1:14">
      <c r="A22" s="24"/>
      <c r="B22" s="25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9"/>
      <c r="N22" s="29"/>
    </row>
    <row r="23" spans="1:14">
      <c r="A23" s="24"/>
      <c r="B23" s="25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9"/>
      <c r="N23" s="29"/>
    </row>
    <row r="24" spans="1:14">
      <c r="A24" s="24"/>
      <c r="B24" s="25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9"/>
      <c r="N24" s="29"/>
    </row>
    <row r="25" spans="1:14">
      <c r="A25" s="24"/>
      <c r="B25" s="25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>
      <c r="A26" s="24"/>
      <c r="B26" s="25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>
      <c r="A27" s="24"/>
      <c r="B27" s="25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  <row r="28" spans="1:14">
      <c r="A28" s="24"/>
      <c r="B28" s="25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</row>
    <row r="29" spans="1:14">
      <c r="A29" s="24"/>
      <c r="B29" s="25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>
      <c r="A30" s="24"/>
      <c r="B30" s="25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>
      <c r="A31" s="24"/>
      <c r="B31" s="25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</row>
    <row r="32" spans="1:14">
      <c r="A32" s="24"/>
      <c r="B32" s="25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24"/>
      <c r="B33" s="25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</row>
    <row r="34" spans="1:14">
      <c r="A34" s="24"/>
      <c r="B34" s="25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</row>
    <row r="35" spans="1:14">
      <c r="A35" s="27"/>
      <c r="B35" s="27"/>
      <c r="C35" s="32"/>
      <c r="D35" s="32"/>
      <c r="E35" s="32"/>
      <c r="F35" s="33"/>
      <c r="G35" s="33"/>
      <c r="H35" s="33"/>
      <c r="I35" s="33"/>
      <c r="J35" s="33"/>
      <c r="K35" s="33"/>
      <c r="L35" s="33"/>
      <c r="M35" s="33"/>
      <c r="N35" s="33"/>
    </row>
    <row r="36" spans="1:14">
      <c r="A36" s="24"/>
      <c r="B36" s="25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>
      <c r="A37" s="24"/>
      <c r="B37" s="25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N24" sqref="N24"/>
    </sheetView>
  </sheetViews>
  <sheetFormatPr defaultColWidth="8.75" defaultRowHeight="13.5"/>
  <cols>
    <col min="1" max="1" width="17.375" style="11" customWidth="1"/>
    <col min="2" max="2" width="32.375" style="11" customWidth="1"/>
    <col min="3" max="16384" width="8.75" style="11"/>
  </cols>
  <sheetData>
    <row r="1" spans="1:15">
      <c r="A1" s="22" t="s">
        <v>17</v>
      </c>
      <c r="B1" s="22" t="s">
        <v>18</v>
      </c>
      <c r="C1" s="36">
        <v>2022</v>
      </c>
      <c r="D1" s="36">
        <v>2023</v>
      </c>
      <c r="E1" s="36">
        <v>2024</v>
      </c>
      <c r="F1" s="36">
        <v>2025</v>
      </c>
      <c r="G1" s="36">
        <v>2030</v>
      </c>
      <c r="H1" s="36">
        <v>2035</v>
      </c>
      <c r="I1" s="36">
        <v>2040</v>
      </c>
      <c r="J1" s="36">
        <v>2045</v>
      </c>
      <c r="K1" s="36">
        <v>2050</v>
      </c>
      <c r="L1" s="36">
        <v>2055</v>
      </c>
      <c r="M1" s="36">
        <v>2060</v>
      </c>
      <c r="N1" s="36">
        <v>2065</v>
      </c>
      <c r="O1" s="37">
        <v>2070</v>
      </c>
    </row>
    <row r="2" spans="1:15">
      <c r="A2" s="25" t="s">
        <v>35</v>
      </c>
      <c r="B2" s="25" t="s">
        <v>35</v>
      </c>
      <c r="C2" s="34">
        <v>0.1</v>
      </c>
      <c r="D2" s="34">
        <v>0.1</v>
      </c>
      <c r="E2" s="34">
        <v>0.1</v>
      </c>
      <c r="F2" s="34">
        <v>0.1</v>
      </c>
      <c r="G2" s="34">
        <v>0.1</v>
      </c>
      <c r="H2" s="34">
        <v>0.1</v>
      </c>
      <c r="I2" s="34">
        <v>0.1</v>
      </c>
      <c r="J2" s="34">
        <v>0.1</v>
      </c>
      <c r="K2" s="34">
        <v>0.1</v>
      </c>
      <c r="L2" s="34">
        <v>0.1</v>
      </c>
      <c r="M2" s="34">
        <v>0.1</v>
      </c>
      <c r="N2" s="34">
        <v>0.1</v>
      </c>
      <c r="O2" s="34">
        <v>0.1</v>
      </c>
    </row>
    <row r="3" spans="1:15">
      <c r="A3" s="25" t="s">
        <v>39</v>
      </c>
      <c r="B3" s="25" t="s">
        <v>41</v>
      </c>
      <c r="C3" s="34">
        <v>0.1</v>
      </c>
      <c r="D3" s="34">
        <v>0.1</v>
      </c>
      <c r="E3" s="34">
        <v>0.1</v>
      </c>
      <c r="F3" s="34">
        <v>0.1</v>
      </c>
      <c r="G3" s="34">
        <v>0.1</v>
      </c>
      <c r="H3" s="34">
        <v>0.1</v>
      </c>
      <c r="I3" s="34">
        <v>0.1</v>
      </c>
      <c r="J3" s="34">
        <v>0.1</v>
      </c>
      <c r="K3" s="34">
        <v>0.1</v>
      </c>
      <c r="L3" s="34">
        <v>0.1</v>
      </c>
      <c r="M3" s="34">
        <v>0.1</v>
      </c>
      <c r="N3" s="34">
        <v>0.1</v>
      </c>
      <c r="O3" s="34">
        <v>0.1</v>
      </c>
    </row>
    <row r="4" spans="1:15">
      <c r="A4" s="25" t="s">
        <v>14</v>
      </c>
      <c r="B4" s="25" t="s">
        <v>37</v>
      </c>
      <c r="C4" s="34">
        <v>0.1</v>
      </c>
      <c r="D4" s="34">
        <v>0.1</v>
      </c>
      <c r="E4" s="34">
        <v>0.1</v>
      </c>
      <c r="F4" s="34">
        <v>0.1</v>
      </c>
      <c r="G4" s="34">
        <v>0.1</v>
      </c>
      <c r="H4" s="34">
        <v>0.1</v>
      </c>
      <c r="I4" s="34">
        <v>0.1</v>
      </c>
      <c r="J4" s="34">
        <v>0.1</v>
      </c>
      <c r="K4" s="34">
        <v>0.1</v>
      </c>
      <c r="L4" s="34">
        <v>0.1</v>
      </c>
      <c r="M4" s="34">
        <v>0.1</v>
      </c>
      <c r="N4" s="34">
        <v>0.1</v>
      </c>
      <c r="O4" s="34">
        <v>0.1</v>
      </c>
    </row>
    <row r="5" spans="1:15">
      <c r="A5" s="25" t="s">
        <v>19</v>
      </c>
      <c r="B5" s="25" t="s">
        <v>21</v>
      </c>
      <c r="C5" s="34">
        <v>0.1</v>
      </c>
      <c r="D5" s="34">
        <v>0.1</v>
      </c>
      <c r="E5" s="34">
        <v>0.1</v>
      </c>
      <c r="F5" s="34">
        <v>0.1</v>
      </c>
      <c r="G5" s="34">
        <v>0.1</v>
      </c>
      <c r="H5" s="34">
        <v>0.1</v>
      </c>
      <c r="I5" s="34">
        <v>0.1</v>
      </c>
      <c r="J5" s="34">
        <v>0.1</v>
      </c>
      <c r="K5" s="34">
        <v>0.1</v>
      </c>
      <c r="L5" s="34">
        <v>0.1</v>
      </c>
      <c r="M5" s="34">
        <v>0.1</v>
      </c>
      <c r="N5" s="34">
        <v>0.1</v>
      </c>
      <c r="O5" s="34">
        <v>0.1</v>
      </c>
    </row>
    <row r="6" spans="1:15">
      <c r="A6" s="25" t="s">
        <v>19</v>
      </c>
      <c r="B6" s="25" t="s">
        <v>23</v>
      </c>
      <c r="C6" s="34">
        <v>0.1</v>
      </c>
      <c r="D6" s="34">
        <v>0.1</v>
      </c>
      <c r="E6" s="34">
        <v>0.1</v>
      </c>
      <c r="F6" s="34">
        <v>0.1</v>
      </c>
      <c r="G6" s="34">
        <v>0.1</v>
      </c>
      <c r="H6" s="34">
        <v>0.1</v>
      </c>
      <c r="I6" s="34">
        <v>0.1</v>
      </c>
      <c r="J6" s="34">
        <v>0.1</v>
      </c>
      <c r="K6" s="34">
        <v>0.1</v>
      </c>
      <c r="L6" s="34">
        <v>0.1</v>
      </c>
      <c r="M6" s="34">
        <v>0.1</v>
      </c>
      <c r="N6" s="34">
        <v>0.1</v>
      </c>
      <c r="O6" s="34">
        <v>0.1</v>
      </c>
    </row>
    <row r="7" spans="1:15">
      <c r="A7" s="25" t="s">
        <v>13</v>
      </c>
      <c r="B7" s="25" t="s">
        <v>37</v>
      </c>
      <c r="C7" s="34">
        <v>0.1</v>
      </c>
      <c r="D7" s="34">
        <v>0.1</v>
      </c>
      <c r="E7" s="34">
        <v>0.1</v>
      </c>
      <c r="F7" s="34">
        <v>0.1</v>
      </c>
      <c r="G7" s="34">
        <v>0.1</v>
      </c>
      <c r="H7" s="34">
        <v>0.1</v>
      </c>
      <c r="I7" s="34">
        <v>0.1</v>
      </c>
      <c r="J7" s="34">
        <v>0.1</v>
      </c>
      <c r="K7" s="34">
        <v>0.1</v>
      </c>
      <c r="L7" s="34">
        <v>0.1</v>
      </c>
      <c r="M7" s="34">
        <v>0.1</v>
      </c>
      <c r="N7" s="34">
        <v>0.1</v>
      </c>
      <c r="O7" s="34">
        <v>0.1</v>
      </c>
    </row>
    <row r="8" spans="1:15">
      <c r="A8" s="25" t="s">
        <v>25</v>
      </c>
      <c r="B8" s="25" t="s">
        <v>28</v>
      </c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v>0</v>
      </c>
      <c r="O8" s="34">
        <v>0</v>
      </c>
    </row>
    <row r="9" spans="1:15">
      <c r="A9" s="25" t="s">
        <v>25</v>
      </c>
      <c r="B9" s="25" t="s">
        <v>26</v>
      </c>
      <c r="C9" s="34">
        <v>0</v>
      </c>
      <c r="D9" s="34">
        <v>0</v>
      </c>
      <c r="E9" s="34">
        <v>0</v>
      </c>
      <c r="F9" s="34">
        <v>0</v>
      </c>
      <c r="G9" s="34">
        <v>0</v>
      </c>
      <c r="H9" s="34">
        <v>0</v>
      </c>
      <c r="I9" s="34">
        <v>0</v>
      </c>
      <c r="J9" s="34">
        <v>0</v>
      </c>
      <c r="K9" s="34">
        <v>0</v>
      </c>
      <c r="L9" s="34">
        <v>0</v>
      </c>
      <c r="M9" s="34">
        <v>0</v>
      </c>
      <c r="N9" s="34">
        <v>0</v>
      </c>
      <c r="O9" s="34">
        <v>0</v>
      </c>
    </row>
    <row r="10" spans="1:15">
      <c r="A10" s="25" t="s">
        <v>30</v>
      </c>
      <c r="B10" s="25" t="s">
        <v>31</v>
      </c>
      <c r="C10" s="34">
        <v>0.02</v>
      </c>
      <c r="D10" s="34">
        <v>0.02</v>
      </c>
      <c r="E10" s="34">
        <v>0.02</v>
      </c>
      <c r="F10" s="34">
        <v>0.02</v>
      </c>
      <c r="G10" s="34">
        <v>0.02</v>
      </c>
      <c r="H10" s="34">
        <v>0.02</v>
      </c>
      <c r="I10" s="34">
        <v>0.02</v>
      </c>
      <c r="J10" s="34">
        <v>0.02</v>
      </c>
      <c r="K10" s="34">
        <v>0.02</v>
      </c>
      <c r="L10" s="34">
        <v>0.02</v>
      </c>
      <c r="M10" s="34">
        <v>0.02</v>
      </c>
      <c r="N10" s="34">
        <v>0.02</v>
      </c>
      <c r="O10" s="34">
        <v>0.02</v>
      </c>
    </row>
    <row r="11" spans="1:15">
      <c r="A11" s="25" t="s">
        <v>30</v>
      </c>
      <c r="B11" s="25" t="s">
        <v>33</v>
      </c>
      <c r="C11" s="34">
        <v>0.02</v>
      </c>
      <c r="D11" s="34">
        <v>0.02</v>
      </c>
      <c r="E11" s="34">
        <v>0.02</v>
      </c>
      <c r="F11" s="34">
        <v>0.02</v>
      </c>
      <c r="G11" s="34">
        <v>0.02</v>
      </c>
      <c r="H11" s="34">
        <v>0.02</v>
      </c>
      <c r="I11" s="34">
        <v>0.02</v>
      </c>
      <c r="J11" s="34">
        <v>0.02</v>
      </c>
      <c r="K11" s="34">
        <v>0.02</v>
      </c>
      <c r="L11" s="34">
        <v>0.02</v>
      </c>
      <c r="M11" s="34">
        <v>0.02</v>
      </c>
      <c r="N11" s="34">
        <v>0.02</v>
      </c>
      <c r="O11" s="34">
        <v>0.02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4506668294322"/>
  </sheetPr>
  <dimension ref="A1:AG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9" defaultRowHeight="13.5"/>
  <cols>
    <col min="1" max="1" width="21.375" style="3" customWidth="1"/>
    <col min="2" max="2" width="10.375" style="3" customWidth="1"/>
    <col min="3" max="16384" width="9" style="3"/>
  </cols>
  <sheetData>
    <row r="1" spans="1:33" s="5" customFormat="1" ht="15">
      <c r="A1" s="17" t="s">
        <v>52</v>
      </c>
      <c r="B1" s="21" t="s">
        <v>63</v>
      </c>
      <c r="C1" s="21" t="s">
        <v>64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5"/>
    </row>
    <row r="2" spans="1:33" ht="14.25">
      <c r="A2" s="21" t="s">
        <v>63</v>
      </c>
      <c r="B2" s="16"/>
      <c r="C2" s="16">
        <v>100</v>
      </c>
      <c r="D2" s="16"/>
      <c r="E2" s="16"/>
      <c r="F2" s="16"/>
      <c r="G2" s="16"/>
      <c r="H2" s="16"/>
      <c r="I2" s="16"/>
      <c r="J2" s="16"/>
      <c r="K2" s="16"/>
      <c r="L2" s="16"/>
      <c r="M2" s="18"/>
      <c r="N2" s="16"/>
      <c r="O2" s="16"/>
      <c r="P2" s="16"/>
      <c r="Q2" s="18"/>
      <c r="R2" s="18"/>
      <c r="S2" s="16"/>
      <c r="T2" s="16"/>
      <c r="U2" s="16"/>
      <c r="V2" s="16"/>
      <c r="W2" s="16"/>
      <c r="X2" s="18"/>
      <c r="Y2" s="16"/>
      <c r="Z2" s="16"/>
      <c r="AA2" s="16"/>
      <c r="AB2" s="16"/>
      <c r="AC2" s="16"/>
      <c r="AD2" s="16"/>
      <c r="AE2" s="18"/>
      <c r="AF2" s="16"/>
      <c r="AG2" s="13"/>
    </row>
    <row r="3" spans="1:33" ht="14.25">
      <c r="A3" s="21" t="s">
        <v>64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3"/>
    </row>
    <row r="4" spans="1:33" ht="14.25">
      <c r="A4" s="18"/>
      <c r="B4" s="16"/>
      <c r="C4" s="16"/>
      <c r="D4" s="16"/>
      <c r="E4" s="16"/>
      <c r="F4" s="16"/>
      <c r="G4" s="16"/>
      <c r="H4" s="16"/>
      <c r="I4" s="16"/>
      <c r="J4" s="16"/>
      <c r="K4" s="18"/>
      <c r="L4" s="16"/>
      <c r="M4" s="16"/>
      <c r="N4" s="18"/>
      <c r="O4" s="1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3"/>
    </row>
    <row r="5" spans="1:33" ht="14.2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8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8"/>
      <c r="AF5" s="16"/>
      <c r="AG5" s="13"/>
    </row>
    <row r="6" spans="1:33" ht="14.25">
      <c r="A6" s="18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8"/>
      <c r="R6" s="16"/>
      <c r="S6" s="16"/>
      <c r="T6" s="16"/>
      <c r="U6" s="18"/>
      <c r="V6" s="16"/>
      <c r="W6" s="18"/>
      <c r="X6" s="16"/>
      <c r="Y6" s="16"/>
      <c r="Z6" s="16"/>
      <c r="AA6" s="18"/>
      <c r="AB6" s="16"/>
      <c r="AC6" s="16"/>
      <c r="AD6" s="16"/>
      <c r="AE6" s="16"/>
      <c r="AF6" s="16"/>
      <c r="AG6" s="13"/>
    </row>
    <row r="7" spans="1:33" ht="14.25">
      <c r="A7" s="18"/>
      <c r="B7" s="16"/>
      <c r="C7" s="16"/>
      <c r="D7" s="16"/>
      <c r="E7" s="18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3"/>
    </row>
    <row r="8" spans="1:33" ht="14.25">
      <c r="A8" s="18"/>
      <c r="B8" s="16"/>
      <c r="C8" s="16"/>
      <c r="D8" s="16"/>
      <c r="E8" s="16"/>
      <c r="F8" s="16"/>
      <c r="G8" s="18"/>
      <c r="H8" s="16"/>
      <c r="I8" s="16"/>
      <c r="J8" s="16"/>
      <c r="K8" s="16"/>
      <c r="L8" s="16"/>
      <c r="M8" s="16"/>
      <c r="N8" s="16"/>
      <c r="O8" s="18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3"/>
    </row>
    <row r="9" spans="1:33" ht="14.25">
      <c r="A9" s="18"/>
      <c r="B9" s="16"/>
      <c r="C9" s="16"/>
      <c r="D9" s="18"/>
      <c r="E9" s="16"/>
      <c r="F9" s="16"/>
      <c r="G9" s="16"/>
      <c r="H9" s="18"/>
      <c r="I9" s="16"/>
      <c r="J9" s="16"/>
      <c r="K9" s="16"/>
      <c r="L9" s="16"/>
      <c r="M9" s="16"/>
      <c r="N9" s="16"/>
      <c r="O9" s="18"/>
      <c r="P9" s="16"/>
      <c r="Q9" s="18"/>
      <c r="R9" s="16"/>
      <c r="S9" s="16"/>
      <c r="T9" s="16"/>
      <c r="U9" s="16"/>
      <c r="V9" s="16"/>
      <c r="W9" s="16"/>
      <c r="X9" s="16"/>
      <c r="Y9" s="16"/>
      <c r="Z9" s="16"/>
      <c r="AA9" s="18"/>
      <c r="AB9" s="16"/>
      <c r="AC9" s="16"/>
      <c r="AD9" s="16"/>
      <c r="AE9" s="16"/>
      <c r="AF9" s="16"/>
      <c r="AG9" s="13"/>
    </row>
    <row r="10" spans="1:33" ht="14.25">
      <c r="A10" s="18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3"/>
    </row>
    <row r="11" spans="1:33" ht="14.25">
      <c r="A11" s="18"/>
      <c r="B11" s="18"/>
      <c r="C11" s="18"/>
      <c r="D11" s="16"/>
      <c r="E11" s="16"/>
      <c r="F11" s="16"/>
      <c r="G11" s="16"/>
      <c r="H11" s="16"/>
      <c r="I11" s="16"/>
      <c r="J11" s="16"/>
      <c r="K11" s="16"/>
      <c r="L11" s="16"/>
      <c r="M11" s="18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8"/>
      <c r="Y11" s="16"/>
      <c r="Z11" s="16"/>
      <c r="AA11" s="16"/>
      <c r="AB11" s="18"/>
      <c r="AC11" s="16"/>
      <c r="AD11" s="16"/>
      <c r="AE11" s="16"/>
      <c r="AF11" s="16"/>
      <c r="AG11" s="13"/>
    </row>
    <row r="12" spans="1:33" ht="14.25">
      <c r="A12" s="18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8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3"/>
    </row>
    <row r="13" spans="1:33" ht="14.25">
      <c r="A13" s="18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8"/>
      <c r="Y13" s="16"/>
      <c r="Z13" s="16"/>
      <c r="AA13" s="16"/>
      <c r="AB13" s="16"/>
      <c r="AC13" s="16"/>
      <c r="AD13" s="16"/>
      <c r="AE13" s="16"/>
      <c r="AF13" s="16"/>
      <c r="AG13" s="13"/>
    </row>
    <row r="14" spans="1:33" ht="14.25">
      <c r="A14" s="18"/>
      <c r="B14" s="18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8"/>
      <c r="N14" s="16"/>
      <c r="O14" s="18"/>
      <c r="P14" s="16"/>
      <c r="Q14" s="16"/>
      <c r="R14" s="18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3"/>
    </row>
    <row r="15" spans="1:33" ht="14.25">
      <c r="A15" s="18"/>
      <c r="B15" s="16"/>
      <c r="C15" s="16"/>
      <c r="D15" s="16"/>
      <c r="E15" s="16"/>
      <c r="F15" s="16"/>
      <c r="G15" s="18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8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3"/>
    </row>
    <row r="16" spans="1:33" ht="14.25">
      <c r="A16" s="18"/>
      <c r="B16" s="16"/>
      <c r="C16" s="18"/>
      <c r="D16" s="16"/>
      <c r="E16" s="16"/>
      <c r="F16" s="18"/>
      <c r="G16" s="16"/>
      <c r="H16" s="16"/>
      <c r="I16" s="16"/>
      <c r="J16" s="16"/>
      <c r="K16" s="18"/>
      <c r="L16" s="18"/>
      <c r="M16" s="16"/>
      <c r="N16" s="16"/>
      <c r="O16" s="16"/>
      <c r="P16" s="18"/>
      <c r="Q16" s="18"/>
      <c r="R16" s="18"/>
      <c r="S16" s="18"/>
      <c r="T16" s="18"/>
      <c r="U16" s="18"/>
      <c r="V16" s="16"/>
      <c r="W16" s="18"/>
      <c r="X16" s="18"/>
      <c r="Y16" s="16"/>
      <c r="Z16" s="18"/>
      <c r="AA16" s="16"/>
      <c r="AB16" s="18"/>
      <c r="AC16" s="16"/>
      <c r="AD16" s="16"/>
      <c r="AE16" s="16"/>
      <c r="AF16" s="13"/>
      <c r="AG16" s="13"/>
    </row>
    <row r="17" spans="1:31" ht="14.25">
      <c r="A17" s="18"/>
      <c r="B17" s="16"/>
      <c r="C17" s="16"/>
      <c r="D17" s="16"/>
      <c r="E17" s="16"/>
      <c r="F17" s="16"/>
      <c r="G17" s="16"/>
      <c r="H17" s="16"/>
      <c r="I17" s="16"/>
      <c r="J17" s="16"/>
      <c r="K17" s="18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8"/>
      <c r="Z17" s="16"/>
      <c r="AA17" s="16"/>
      <c r="AB17" s="16"/>
      <c r="AC17" s="16"/>
      <c r="AD17" s="16"/>
      <c r="AE17" s="18"/>
    </row>
    <row r="18" spans="1:31" ht="14.25">
      <c r="A18" s="18"/>
      <c r="B18" s="16"/>
      <c r="C18" s="16"/>
      <c r="D18" s="16"/>
      <c r="E18" s="16"/>
      <c r="F18" s="16"/>
      <c r="G18" s="18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8"/>
    </row>
    <row r="19" spans="1:31" ht="14.25">
      <c r="A19" s="18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ht="14.25">
      <c r="A20" s="18"/>
      <c r="B20" s="16"/>
      <c r="C20" s="16"/>
      <c r="D20" s="16"/>
      <c r="E20" s="16"/>
      <c r="F20" s="16"/>
      <c r="G20" s="16"/>
      <c r="H20" s="16"/>
      <c r="I20" s="16"/>
      <c r="J20" s="16"/>
      <c r="K20" s="18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ht="14.25">
      <c r="A21" s="18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8"/>
      <c r="X21" s="18"/>
      <c r="Y21" s="16"/>
      <c r="Z21" s="16"/>
      <c r="AA21" s="16"/>
      <c r="AB21" s="16"/>
      <c r="AC21" s="16"/>
      <c r="AD21" s="16"/>
      <c r="AE21" s="18"/>
    </row>
    <row r="22" spans="1:31" ht="14.25">
      <c r="A22" s="18"/>
      <c r="B22" s="16"/>
      <c r="C22" s="16"/>
      <c r="D22" s="16"/>
      <c r="E22" s="16"/>
      <c r="F22" s="18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8"/>
      <c r="AB22" s="16"/>
      <c r="AC22" s="16"/>
      <c r="AD22" s="16"/>
      <c r="AE22" s="16"/>
    </row>
    <row r="23" spans="1:31" ht="14.25">
      <c r="A23" s="18"/>
      <c r="B23" s="16"/>
      <c r="C23" s="16"/>
      <c r="D23" s="18"/>
      <c r="E23" s="16"/>
      <c r="F23" s="16"/>
      <c r="G23" s="16"/>
      <c r="H23" s="16"/>
      <c r="I23" s="16"/>
      <c r="J23" s="16"/>
      <c r="K23" s="16"/>
      <c r="L23" s="16"/>
      <c r="M23" s="18"/>
      <c r="N23" s="18"/>
      <c r="O23" s="16"/>
      <c r="P23" s="16"/>
      <c r="Q23" s="18"/>
      <c r="R23" s="16"/>
      <c r="S23" s="16"/>
      <c r="T23" s="16"/>
      <c r="U23" s="16"/>
      <c r="V23" s="16"/>
      <c r="W23" s="16"/>
      <c r="X23" s="16"/>
      <c r="Y23" s="16"/>
      <c r="Z23" s="18"/>
      <c r="AA23" s="18"/>
      <c r="AB23" s="16"/>
      <c r="AC23" s="16"/>
      <c r="AD23" s="16"/>
      <c r="AE23" s="16"/>
    </row>
    <row r="24" spans="1:31" ht="14.25">
      <c r="A24" s="1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8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8"/>
      <c r="AC24" s="16"/>
      <c r="AD24" s="16"/>
      <c r="AE24" s="16"/>
    </row>
    <row r="25" spans="1:31" ht="14.25">
      <c r="A25" s="18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 spans="1:31" ht="14.25">
      <c r="A26" s="18"/>
      <c r="B26" s="16"/>
      <c r="C26" s="16"/>
      <c r="D26" s="16"/>
      <c r="E26" s="16"/>
      <c r="F26" s="16"/>
      <c r="G26" s="16"/>
      <c r="H26" s="16"/>
      <c r="I26" s="16"/>
      <c r="J26" s="16"/>
      <c r="K26" s="18"/>
      <c r="L26" s="16"/>
      <c r="M26" s="18"/>
      <c r="N26" s="16"/>
      <c r="O26" s="18"/>
      <c r="P26" s="16"/>
      <c r="Q26" s="18"/>
      <c r="R26" s="16"/>
      <c r="S26" s="16"/>
      <c r="T26" s="16"/>
      <c r="U26" s="16"/>
      <c r="V26" s="16"/>
      <c r="W26" s="16"/>
      <c r="X26" s="18"/>
      <c r="Y26" s="16"/>
      <c r="Z26" s="16"/>
      <c r="AA26" s="16"/>
      <c r="AB26" s="16"/>
      <c r="AC26" s="16"/>
      <c r="AD26" s="16"/>
      <c r="AE26" s="16"/>
    </row>
    <row r="27" spans="1:31" ht="14.25">
      <c r="A27" s="18"/>
      <c r="B27" s="16"/>
      <c r="C27" s="16"/>
      <c r="D27" s="18"/>
      <c r="E27" s="16"/>
      <c r="F27" s="16"/>
      <c r="G27" s="18"/>
      <c r="H27" s="16"/>
      <c r="I27" s="16"/>
      <c r="J27" s="16"/>
      <c r="K27" s="16"/>
      <c r="L27" s="16"/>
      <c r="M27" s="16"/>
      <c r="N27" s="16"/>
      <c r="O27" s="18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 spans="1:31" ht="14.25">
      <c r="A28" s="18"/>
      <c r="B28" s="16"/>
      <c r="C28" s="18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 spans="1:31" ht="14.25">
      <c r="A29" s="18"/>
      <c r="B29" s="16"/>
      <c r="C29" s="16"/>
      <c r="D29" s="16"/>
      <c r="E29" s="16"/>
      <c r="F29" s="18"/>
      <c r="G29" s="16"/>
      <c r="H29" s="16"/>
      <c r="I29" s="16"/>
      <c r="J29" s="16"/>
      <c r="K29" s="16"/>
      <c r="L29" s="16"/>
      <c r="M29" s="18"/>
      <c r="N29" s="16"/>
      <c r="O29" s="16"/>
      <c r="P29" s="16"/>
      <c r="Q29" s="16"/>
      <c r="R29" s="16"/>
      <c r="S29" s="16"/>
      <c r="T29" s="16"/>
      <c r="U29" s="16"/>
      <c r="V29" s="18"/>
      <c r="W29" s="16"/>
      <c r="X29" s="18"/>
      <c r="Y29" s="16"/>
      <c r="Z29" s="16"/>
      <c r="AA29" s="16"/>
      <c r="AB29" s="16"/>
      <c r="AC29" s="16"/>
      <c r="AD29" s="16"/>
      <c r="AE29" s="16"/>
    </row>
    <row r="30" spans="1:31" ht="14.25">
      <c r="A30" s="18"/>
      <c r="B30" s="16"/>
      <c r="C30" s="16"/>
      <c r="D30" s="16"/>
      <c r="E30" s="16"/>
      <c r="F30" s="16"/>
      <c r="G30" s="18"/>
      <c r="H30" s="18"/>
      <c r="I30" s="18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8"/>
      <c r="AB30" s="16"/>
      <c r="AC30" s="16"/>
      <c r="AD30" s="16"/>
      <c r="AE30" s="18"/>
    </row>
    <row r="31" spans="1:31" ht="14.25">
      <c r="A31" s="18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8"/>
      <c r="Z31" s="16"/>
      <c r="AA31" s="16"/>
      <c r="AB31" s="16"/>
      <c r="AC31" s="16"/>
      <c r="AD31" s="16"/>
      <c r="AE31" s="13"/>
    </row>
    <row r="32" spans="1:31" ht="14.25">
      <c r="A32" s="18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8"/>
      <c r="W32" s="16"/>
      <c r="X32" s="16"/>
      <c r="Y32" s="16"/>
      <c r="Z32" s="16"/>
      <c r="AA32" s="18"/>
      <c r="AB32" s="16"/>
      <c r="AC32" s="18"/>
      <c r="AD32" s="18"/>
      <c r="AE32" s="13"/>
    </row>
    <row r="33" spans="1:27" ht="14.25">
      <c r="A33" s="14"/>
      <c r="B33" s="13"/>
      <c r="C33" s="13"/>
      <c r="D33" s="13"/>
      <c r="E33" s="13"/>
      <c r="F33" s="13"/>
      <c r="G33" s="14"/>
      <c r="H33" s="13"/>
      <c r="I33" s="13"/>
      <c r="J33" s="13"/>
      <c r="K33" s="13"/>
      <c r="L33" s="13"/>
      <c r="M33" s="13"/>
      <c r="N33" s="14"/>
      <c r="O33" s="13"/>
      <c r="P33" s="13"/>
      <c r="Q33" s="14"/>
      <c r="R33" s="13"/>
      <c r="S33" s="13"/>
      <c r="T33" s="14"/>
      <c r="U33" s="13"/>
      <c r="V33" s="13"/>
      <c r="W33" s="14"/>
      <c r="X33" s="14"/>
      <c r="Y33" s="13"/>
      <c r="Z33" s="13"/>
      <c r="AA33" s="14"/>
    </row>
  </sheetData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zoomScale="80" zoomScaleNormal="80" workbookViewId="0">
      <pane xSplit="1" ySplit="1" topLeftCell="B2" activePane="bottomRight" state="frozen"/>
      <selection pane="topRight"/>
      <selection pane="bottomLeft"/>
      <selection pane="bottomRight" activeCell="C3" sqref="C3"/>
    </sheetView>
  </sheetViews>
  <sheetFormatPr defaultColWidth="9" defaultRowHeight="13.5"/>
  <sheetData>
    <row r="1" spans="1:11" ht="54">
      <c r="A1" t="s">
        <v>53</v>
      </c>
      <c r="B1" s="1" t="s">
        <v>20</v>
      </c>
      <c r="C1" s="1" t="s">
        <v>22</v>
      </c>
      <c r="D1" s="1" t="s">
        <v>24</v>
      </c>
      <c r="E1" s="1" t="s">
        <v>27</v>
      </c>
      <c r="F1" s="49" t="s">
        <v>29</v>
      </c>
      <c r="G1" s="50" t="s">
        <v>32</v>
      </c>
      <c r="H1" s="1" t="s">
        <v>34</v>
      </c>
      <c r="I1" s="1" t="s">
        <v>36</v>
      </c>
      <c r="J1" s="4" t="s">
        <v>38</v>
      </c>
      <c r="K1" s="1" t="s">
        <v>40</v>
      </c>
    </row>
    <row r="2" spans="1:11">
      <c r="A2" s="2" t="s">
        <v>63</v>
      </c>
      <c r="B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</row>
    <row r="3" spans="1:11">
      <c r="A3" s="2" t="s">
        <v>64</v>
      </c>
      <c r="C3">
        <v>1</v>
      </c>
      <c r="D3">
        <v>1</v>
      </c>
      <c r="E3">
        <v>1</v>
      </c>
      <c r="F3">
        <v>1</v>
      </c>
      <c r="I3">
        <v>0</v>
      </c>
      <c r="J3">
        <v>1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General</vt:lpstr>
      <vt:lpstr>Years</vt:lpstr>
      <vt:lpstr>emissionfactors</vt:lpstr>
      <vt:lpstr>Emissions</vt:lpstr>
      <vt:lpstr>TechMap</vt:lpstr>
      <vt:lpstr>FuelPrice</vt:lpstr>
      <vt:lpstr>TechData</vt:lpstr>
      <vt:lpstr>TechConstraints</vt:lpstr>
      <vt:lpstr>Constraints</vt:lpstr>
      <vt:lpstr>ConstraintsTypes</vt:lpstr>
      <vt:lpstr>TechCapex</vt:lpstr>
      <vt:lpstr>fom</vt:lpstr>
      <vt:lpstr>vom</vt:lpstr>
      <vt:lpstr>Interconnection</vt:lpstr>
      <vt:lpstr>generics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Yunshu</dc:creator>
  <cp:lastModifiedBy>iaea-user</cp:lastModifiedBy>
  <dcterms:created xsi:type="dcterms:W3CDTF">2025-05-19T21:18:00Z</dcterms:created>
  <dcterms:modified xsi:type="dcterms:W3CDTF">2025-08-25T09:32:36Z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08DD8C16DCD247D389394ABA0FDF8F10_12</vt:lpwstr>
  </property>
  <property fmtid="{D5CDD505-2E9C-101B-9397-08002B2CF9AE}" pid="3" name="KSOProductBuildVer">
    <vt:lpwstr>2052-12.1.0.21541</vt:lpwstr>
  </property>
</Properties>
</file>